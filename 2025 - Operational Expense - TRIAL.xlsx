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Project Dashboard Grab\"/>
    </mc:Choice>
  </mc:AlternateContent>
  <xr:revisionPtr revIDLastSave="0" documentId="13_ncr:1_{2879FA00-59FE-46E0-8826-1893F376BDFA}" xr6:coauthVersionLast="47" xr6:coauthVersionMax="47" xr10:uidLastSave="{00000000-0000-0000-0000-000000000000}"/>
  <bookViews>
    <workbookView xWindow="-110" yWindow="-110" windowWidth="19420" windowHeight="10300" firstSheet="8" activeTab="11" xr2:uid="{00000000-000D-0000-FFFF-FFFF00000000}"/>
  </bookViews>
  <sheets>
    <sheet name="OUTSOURCE" sheetId="11" r:id="rId1"/>
    <sheet name="OPERATIONAL" sheetId="1" r:id="rId2"/>
    <sheet name="BUILDING &amp; FACILITIES" sheetId="2" r:id="rId3"/>
    <sheet name="EVENT" sheetId="9" r:id="rId4"/>
    <sheet name="TRANSPORTATION" sheetId="3" r:id="rId5"/>
    <sheet name="UTILITY" sheetId="4" r:id="rId6"/>
    <sheet name="GRAB OVERVIEW" sheetId="8" r:id="rId7"/>
    <sheet name="MEALS" sheetId="5" r:id="rId8"/>
    <sheet name="SPECTIVE" sheetId="10" r:id="rId9"/>
    <sheet name="Sheet1" sheetId="13" r:id="rId10"/>
    <sheet name="All Expenses" sheetId="15" r:id="rId11"/>
    <sheet name="PR Purchasing" sheetId="12" r:id="rId12"/>
  </sheets>
  <definedNames>
    <definedName name="_xlnm._FilterDatabase" localSheetId="3" hidden="1">EVENT!$A$1:$F$78</definedName>
    <definedName name="_xlnm._FilterDatabase" localSheetId="6" hidden="1">'GRAB OVERVIEW'!$A$1:$G$652</definedName>
    <definedName name="_xlnm._FilterDatabase" localSheetId="7" hidden="1">MEALS!$A$1:$J$65</definedName>
    <definedName name="_xlnm._FilterDatabase" localSheetId="1" hidden="1">OPERATIONAL!$A$1:$F$282</definedName>
    <definedName name="_xlnm._FilterDatabase" localSheetId="0" hidden="1">OUTSOURCE!$A$1:$F$285</definedName>
    <definedName name="_xlnm._FilterDatabase" localSheetId="4" hidden="1">TRANSPORTATION!$A$1:$G$136</definedName>
    <definedName name="_xlnm._FilterDatabase" localSheetId="5" hidden="1">UTILITY!$A$1:$F$61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2" l="1"/>
  <c r="H4" i="12"/>
  <c r="H5" i="12"/>
  <c r="H6" i="12"/>
  <c r="H7" i="12"/>
  <c r="H8" i="12"/>
  <c r="H9" i="12"/>
  <c r="H10" i="12"/>
  <c r="H11" i="12"/>
  <c r="H12" i="12"/>
  <c r="H2" i="12"/>
  <c r="F191" i="15"/>
  <c r="F175" i="15"/>
  <c r="F170" i="15"/>
  <c r="F167" i="15"/>
  <c r="F142" i="15"/>
  <c r="F30" i="15"/>
  <c r="F28" i="15"/>
  <c r="E47" i="3"/>
  <c r="E42" i="3"/>
  <c r="E39" i="3"/>
  <c r="E14" i="3"/>
  <c r="E23" i="1"/>
  <c r="E21" i="1"/>
  <c r="D8" i="4"/>
  <c r="J3" i="12"/>
  <c r="J4" i="12"/>
  <c r="J5" i="12"/>
  <c r="J6" i="12"/>
  <c r="J7" i="12"/>
  <c r="J8" i="12"/>
  <c r="J9" i="12"/>
  <c r="J10" i="12"/>
  <c r="J11" i="12"/>
  <c r="J12" i="12"/>
  <c r="J2" i="12"/>
  <c r="D16" i="13"/>
  <c r="D11" i="13"/>
  <c r="D17" i="13" s="1"/>
</calcChain>
</file>

<file path=xl/sharedStrings.xml><?xml version="1.0" encoding="utf-8"?>
<sst xmlns="http://schemas.openxmlformats.org/spreadsheetml/2006/main" count="3254" uniqueCount="743">
  <si>
    <t>Periode</t>
  </si>
  <si>
    <t>Tanggal Expense</t>
  </si>
  <si>
    <t>Nomor Dokumen (PRF/CA/RMB)</t>
  </si>
  <si>
    <t>Detail Expense</t>
  </si>
  <si>
    <t>Amount</t>
  </si>
  <si>
    <t>Category Expense</t>
  </si>
  <si>
    <t>Budget Charged</t>
  </si>
  <si>
    <t>SPE/PRF/FNT/0000/0034/A/I/2025</t>
  </si>
  <si>
    <t>Biaya Tenaga Keamanan HO - Januari 2025</t>
  </si>
  <si>
    <t>OS Service</t>
  </si>
  <si>
    <t>61010802 - Office Support Services</t>
  </si>
  <si>
    <t>SPE/PRF/FNT/0000/0126/A/II/2025</t>
  </si>
  <si>
    <t>Biaya Tenaga OS Tangerang &amp; Yogya - Januari 2025</t>
  </si>
  <si>
    <t>Security Service</t>
  </si>
  <si>
    <t>61010803 - Security Service</t>
  </si>
  <si>
    <t>SPE/PRF/FNT/0000/0125/A/II/2025</t>
  </si>
  <si>
    <t>Biaya Tenaga Keamanan HO - Februari 2025</t>
  </si>
  <si>
    <t>Biaya Tenaga OS Tangerang &amp; Yogya - Februari 2025 - INV 15846</t>
  </si>
  <si>
    <t>Biaya Tenaga Keamanan HO - Maret 2025 - INV 15845</t>
  </si>
  <si>
    <t>SPE/PRF/FNT/0000/0000/A/IV/2025</t>
  </si>
  <si>
    <t>Biaya Tenaga OS Tangerang &amp; Yogya - Maret 2025 - INV16049</t>
  </si>
  <si>
    <t>Biaya Tenaga Keamanan HO - April 2025 - INV 16048</t>
  </si>
  <si>
    <t>SPE/PRF/FNT/0000/0004/A/I/2025</t>
  </si>
  <si>
    <t>Aqua Galon Refil 36 &amp; Aqua botol 330ml 2 dus - Order I - Purchasing proses</t>
  </si>
  <si>
    <t>Pantry Supplies</t>
  </si>
  <si>
    <t>61010614 - Pantries</t>
  </si>
  <si>
    <t>SPE/PRF/FNT/0000/0032/A/I/2025</t>
  </si>
  <si>
    <t>Aqua Galon Refil 36 - Order II - Purchasing proses</t>
  </si>
  <si>
    <t>0003/REL/I/2025</t>
  </si>
  <si>
    <t>Realisasi VA BNI - InterX expanding file Handle (2 pcs) u/ keperluan HC</t>
  </si>
  <si>
    <t>Stationary</t>
  </si>
  <si>
    <t>61010612 - Stationary</t>
  </si>
  <si>
    <t>Realisasi VA BNI -  Laundry mukena, keset, sarung bantal</t>
  </si>
  <si>
    <t>Realisasi VA BNI -  Cuci vacum sofa SPE (Pekerjaan 21 Des 2024) - 6 item</t>
  </si>
  <si>
    <t>Realisasi VA BNI -  Cuci vacum sofa SPE (Pekerjaan 28 Des 2024) - 16 item</t>
  </si>
  <si>
    <t>SPE/PRF/FNT/0000/0044/A/I/2025</t>
  </si>
  <si>
    <t>Aqua Galon Refil 36 , Deposit 10 galon isi , 2 dus botol -  Order III - Purchasing Proses</t>
  </si>
  <si>
    <t>SPE/PRF/FNT/0000/0045/A/I/2025</t>
  </si>
  <si>
    <t>Deposit 10 galon  - Purchasing Proses</t>
  </si>
  <si>
    <t>SPE/PRF/FNT/0000/0048/A/I/2025</t>
  </si>
  <si>
    <t>Cleaning Material - Prookleen , floor cleaner, dll - Purchasing Proses</t>
  </si>
  <si>
    <t>Cleaning Material</t>
  </si>
  <si>
    <t>0007/REL/I/2025</t>
  </si>
  <si>
    <t xml:space="preserve">Realisasi VA BNI - Cetak OKR SPE </t>
  </si>
  <si>
    <t>SPE/PRF/FNT/0000/0061/A/I/2025</t>
  </si>
  <si>
    <t xml:space="preserve">Aqua Galon Refil 19lt - 36 Galon - Order IV -  Purchasing Proses </t>
  </si>
  <si>
    <t>SPE/PRF/FNT/0000/0060/A/I/2025</t>
  </si>
  <si>
    <t>KopiHouse Blend , Twining Tea - Purchasing proses</t>
  </si>
  <si>
    <t>SPE/PRF/FNT/0000/0069/A/I/2025</t>
  </si>
  <si>
    <t>Scoop Es Batu, Sendok Makan, Garpu (6 Pak) Dll - INV-SPE/I/2025/004 - Purchasing Proses</t>
  </si>
  <si>
    <t>SPE/PRF/FNT/0000/0070/A/I/2025</t>
  </si>
  <si>
    <t>Permen Kopiko (10), Fox (10), Mentos (10) Dll - INV/SPE/I/2025/001 - Purchasing Proses</t>
  </si>
  <si>
    <t>SPE/PRF/FNT/0000/0071/A/I/2025</t>
  </si>
  <si>
    <t>Tissue Livi (8 Dus) &amp; Tissue Facial (2 Dus) - SI2501101377 - Purchasing Proses</t>
  </si>
  <si>
    <t>SPE/PRF/FNT/0000/0072/A/I/2025</t>
  </si>
  <si>
    <t>Gulaku 1 Kg (12 Pak) - INV-SPE/I/2025/002 - Purchasing Proses</t>
  </si>
  <si>
    <t>SPE/PRF/FNT/0000/0076/A/I/2025</t>
  </si>
  <si>
    <t>Aqua Galon (40) + Aqua Botol 330 ml (2 Dus) - Purchasing Proses</t>
  </si>
  <si>
    <t>SPE/PRF/FNT/0000/0089/A/II/2025</t>
  </si>
  <si>
    <t>Charged To CC Corporate 2184 - January 2025 - Bea Materai</t>
  </si>
  <si>
    <t>SPE/PRF/FNT/0000/0098/A/II/2025</t>
  </si>
  <si>
    <t>Ribbon Evolis Tinta Printer HC - Purchasing Prosess - SIJGI.2025.01.00014</t>
  </si>
  <si>
    <t>0019/REL/II/2025</t>
  </si>
  <si>
    <t xml:space="preserve">Realisasi VA BN - Refil Galon - Januari 2025 </t>
  </si>
  <si>
    <t xml:space="preserve">Realisasi VA BN - Plastik Sampah - Januari 2025 </t>
  </si>
  <si>
    <t xml:space="preserve">Realisasi VA BN - Kardus, bubble wrap- Januari 2025 </t>
  </si>
  <si>
    <t>0018/REL/II/2025</t>
  </si>
  <si>
    <t>Realisasi VA BNI - Cetak Kartu Nama Isdayanti</t>
  </si>
  <si>
    <t>Realisasi VA BNI - Laundry SPE</t>
  </si>
  <si>
    <t>SPE/PRF/FNT/0000/0097/A/II/2025</t>
  </si>
  <si>
    <t xml:space="preserve">Aqua Galon Refil 19lt - 40 Galon- Order VII  -  Purchasing Proses </t>
  </si>
  <si>
    <t xml:space="preserve">Aqua Galon Refil 19lt - 40 Galon &amp; 2 Dus Aqua Botol - Order VII  -  Purchasing Proses </t>
  </si>
  <si>
    <t>Pantry Supplies - Vixal, Superkifa, Dahlia, Glade, dll - INV 00046771 - Purchasing proses</t>
  </si>
  <si>
    <t>Pantry Supplies - Scotch Brite, Taski My Micro, Kanebo - INV 00047058 &amp; 000046772 - Purchasing Proses</t>
  </si>
  <si>
    <t>Realisasi CA Operational GA - Mangkok cup additional hut PN  - Februari 2025</t>
  </si>
  <si>
    <t>0022/REL/II/2025</t>
  </si>
  <si>
    <t>Realisasi CA Operational GA - Jilid dokumen busrel  - Februari 2025</t>
  </si>
  <si>
    <t>Realisasi CA Operational GA - Gas 12 kg  - Februari 2025</t>
  </si>
  <si>
    <t>Glade 3 in 1 , Pengharum Ruangan Refil Matic, Bay Fresh Hang N Go - INV-00049949 - Purchasing Proses</t>
  </si>
  <si>
    <t>Toiletries - Livi Smart Multifold &amp; Eco Facial - SI2502103417 - Purchasing Proses</t>
  </si>
  <si>
    <t>SPE/PRF/FNT/0000/0167/A/II/2025</t>
  </si>
  <si>
    <t>Materai 200 pcs - Purchasing Proses</t>
  </si>
  <si>
    <t>0027/REL/II/2025</t>
  </si>
  <si>
    <t xml:space="preserve">Realisasi VA BNI -  Bubble wrap u/ packing  barang ke HO u/ Asset GA dan IT </t>
  </si>
  <si>
    <t xml:space="preserve">Realisasi VA BNI -  Laundry Beanbag, Cover Bantal Sofa, Mukena dan Sajadah </t>
  </si>
  <si>
    <t xml:space="preserve">Realisasi VA BNI -  Kardus u/ packing barang ke HO u/ Asset IT </t>
  </si>
  <si>
    <t xml:space="preserve">Aqua Galon Refil 19lt - 25 Galon &amp; 4 Dus Aqua Botol - IX Order Released  -  Purchasing Proses </t>
  </si>
  <si>
    <t xml:space="preserve">Aqua Galon Refil 19lt - 43 Galon &amp; 2 Dus Aqua Botol - Order X  -  Purchasing Proses </t>
  </si>
  <si>
    <t>SPE/PRF/FNT/0000/0213/A/III/2025</t>
  </si>
  <si>
    <t>Stationary Periode Mar - June 2025 - ATK (Amplop, Baterai, Bantex, Gunting, dll) - INV/246/II/KMA/25 - Purchasing Proses</t>
  </si>
  <si>
    <t>SPE/PRF/FNT/0000/0209/A/III/2025</t>
  </si>
  <si>
    <t>Pemakaian CC Corporate BNI 2184 - Bea materai - Februari 2025</t>
  </si>
  <si>
    <t>Realisasi VA Debit Maret  - Aqua 330ml (2 dus)</t>
  </si>
  <si>
    <t>Realisasi VA Debit Maret  - Softener (2btl)</t>
  </si>
  <si>
    <t>0030/REL/III/2025</t>
  </si>
  <si>
    <t>Realisasi VA Debit Maret  - Ematerai (5 pcs)</t>
  </si>
  <si>
    <t>Realisasi VA Debit Maret  - Pembelian minuman jumstart u/tenan anniv (6 pcs)</t>
  </si>
  <si>
    <t>Realisasi VA Debit Maret - Soft drink u/isi kulkas CBO (Fanta, sprit,cocacola)</t>
  </si>
  <si>
    <t>Realisasi VA Debit Maret  - Soft drink u/isi kulkas CBO (Pocari sweet, Hydro , You c1000)</t>
  </si>
  <si>
    <t xml:space="preserve">Realisasi VA Debit Maret  - Minyak 1lt </t>
  </si>
  <si>
    <t>Realisasi VA Debit Maret - Kertas karton (5 pcs)</t>
  </si>
  <si>
    <t>Realisasi VA Debit Maret  - Kertas nasi bentuk bunga</t>
  </si>
  <si>
    <t>Realisasi VA Debit Maret - Laundry keset, kain, mukena, sajadah, dll</t>
  </si>
  <si>
    <t>Realisasi VA Debit Maret - Ematerai (5 pcs)</t>
  </si>
  <si>
    <t>Realisasi VA Debit Maret - Masker 3 play</t>
  </si>
  <si>
    <t>Office Supplies</t>
  </si>
  <si>
    <t>Realisasi VA Debit Maret - Jilid dokumen</t>
  </si>
  <si>
    <t>Realisasi VA Debit Maret - Ikea samla kotak penyimpanan transparan (8 pcs)</t>
  </si>
  <si>
    <t>SPE/PRF/FNT/0000/0242/A/III/2025</t>
  </si>
  <si>
    <t>Cetak Amplop F4 Branding SPE - 2025/25.03.00431 - Purchasing Proses</t>
  </si>
  <si>
    <t>SPE/PRF/FNT/0000/0260/A/III/2025</t>
  </si>
  <si>
    <t>Pulpen Mekanik Joyko Merah &amp; Biru - Sttionary periode Jan - Jun 2025 - Purchasing Proses -INV00056859</t>
  </si>
  <si>
    <t>SPE/PRF/FNT/0000/0259/A/III/2025</t>
  </si>
  <si>
    <t xml:space="preserve">Isi Staples, Kertas A4 75&amp;80 Gr, Pulpen mekanik Joyko Hitam, Biru, Merah - Purchasing Proses- INV-00056576 - Sttionary periode Jan - Jun 2025 </t>
  </si>
  <si>
    <t xml:space="preserve">Aqua Galon Refil 19lt - 40 Galon &amp; 6 Dus Aqua Botol - Release Order 1  -  Purchasing Proses </t>
  </si>
  <si>
    <t>SPE/PRF/FNT/0000/0272/A/III/2025</t>
  </si>
  <si>
    <t>Label Casio 9mm x 8 mm - Stationary - INV-SPE/I/2925/002- Purchasing Proses</t>
  </si>
  <si>
    <t>Toiletries - Livi Smart Multifold &amp; Eco Facial - SI2503105701 - Purchasing Proses</t>
  </si>
  <si>
    <t>SPE/PRF/FNT/0000/0289/A/III/2025</t>
  </si>
  <si>
    <t>Pemakaian CC Corporate BNI 2184 - Bea Materai - Maret 2025</t>
  </si>
  <si>
    <t>0045/REL/III/2025</t>
  </si>
  <si>
    <t>Realisasi VA BNI - Morin - Maret 2025 - Kertas Kendaraan u/rangka + no mesin</t>
  </si>
  <si>
    <t>Realisasi VA BNI - Morin - Maret 2025 -  Laundry bendera</t>
  </si>
  <si>
    <t>Realisasi VA BNI - Morin - Maret 2025 -  Cetak kartu nama Busrel - Yuno Lastyanto</t>
  </si>
  <si>
    <t>Realisasi VA BNI - Morin - Maret 2025 -  Jilid spiral dokumen busrel (5 pcs)</t>
  </si>
  <si>
    <t>Realisasi VA BNI - Morin - Maret 2025 - Stempel request busrel (3 pcs)</t>
  </si>
  <si>
    <t xml:space="preserve">Realisasi VA BNI - Morin - Maret 2025 - Bagus lem tikus (2pcs)	</t>
  </si>
  <si>
    <t>Realisasi VA BNI - Morin - Maret 2025 -  Mesin penghitung uang, Request PA</t>
  </si>
  <si>
    <t>Realisasi VA BNI - Morin - Maret 2025 -  Plasting wraping</t>
  </si>
  <si>
    <t xml:space="preserve">Realisasi VA BNI - Morin - Maret 2025 -  Bagus lem tikus (2pcs)	</t>
  </si>
  <si>
    <t xml:space="preserve">Aqua Galon Refil  40 Galon - Release Order 2  -  Purchasing Proses </t>
  </si>
  <si>
    <t>SPE/PRF/FNT/0000/0003/A/I/2025</t>
  </si>
  <si>
    <t>Kabel Balden - Purchasing proses</t>
  </si>
  <si>
    <t>Building Material</t>
  </si>
  <si>
    <t>Tangerang</t>
  </si>
  <si>
    <t>SPE/PRF/FNT/0000/0001/A/I/2025</t>
  </si>
  <si>
    <t>Door Closer Sliding Dekkson SLD 1040 &amp; Rel Sliding Gantung Dekson - G4 DKS 200 cm  - Purchasing Proses</t>
  </si>
  <si>
    <t>Service &amp; Maintenance</t>
  </si>
  <si>
    <t>Realisasi VA BNI -  Kabel ties, steker + saklar, watermur pvc</t>
  </si>
  <si>
    <t>Realisasi VA BNI -  Fisher s8, Roofing halus, Fiberkote dof, Fiberkote sealer</t>
  </si>
  <si>
    <t>0005/REL/I/2025</t>
  </si>
  <si>
    <t>Realisasi VA BNI - Kartu RFID u/ keperluan replace kartu akses karyawan</t>
  </si>
  <si>
    <t>SPE/PRF/FNT/0000/0046/A/I/2025</t>
  </si>
  <si>
    <t>Building Metrial , LED Philips &amp; Isolasi Kabel - Purchasing Proses</t>
  </si>
  <si>
    <t>Realisasi VA BNI - GRC Board &amp; Keran air u/wudhu</t>
  </si>
  <si>
    <t>SPE/PRF/FNT/0000/0068/A/I/2025</t>
  </si>
  <si>
    <t>Intel Panel 12 Watt (20) &amp; Busa Pipa AC (6) - INV-SPE/I/2025/003 - Purchasing Proses</t>
  </si>
  <si>
    <t xml:space="preserve">Realisasi VA BN - Ganti Lubang Kunci- Januari 2025 </t>
  </si>
  <si>
    <t>Realisasi VA BNI - Kunci Lari, Kabel Dutc, Aquaproof Dll</t>
  </si>
  <si>
    <t>SPE/PRF/FNT/0000/0118/A/II/2025</t>
  </si>
  <si>
    <t xml:space="preserve">Cleaning AC Yogya - Februari 2025 - Purchasing Proses </t>
  </si>
  <si>
    <t>Realisasi CA Operational GA - Tdus sambungan kabel  - Februari 2025</t>
  </si>
  <si>
    <t>Yogyakarta</t>
  </si>
  <si>
    <t>Realisasi CA Operational GA - Sewa Kasur Addtional Case  - Februari 2025</t>
  </si>
  <si>
    <t>Realisasi CA Operational GA - Rifet &amp; Tapping screw  - Februari 2025</t>
  </si>
  <si>
    <t>Realisasi VA BNI -  Charger Aki Genset Jogja</t>
  </si>
  <si>
    <t>Realisasi VA BNI -  Lampu LED PANEL 12 W Zenich white u/ Lampu Ruangan Lt1</t>
  </si>
  <si>
    <t>Realisasi VA Debit Maret -  Jet flush toilet onda</t>
  </si>
  <si>
    <t>Realisasi VA Debit Maret - Adjustable floor guide (2 pcs)</t>
  </si>
  <si>
    <t xml:space="preserve">Realisasi VA Debit Maret - Pilox silver, gold, </t>
  </si>
  <si>
    <t>Realisasi VA Debit Maret - Kunci laci huben</t>
  </si>
  <si>
    <t>Realisasi VA Debit Maret - Baut tutup &amp; engsel</t>
  </si>
  <si>
    <t>SPE/PRF/FNT/0000/0187/A/II/2025</t>
  </si>
  <si>
    <t>Perbaikan Kebocoran Freon - INV 12944 - Purchasing Proses</t>
  </si>
  <si>
    <t>SPE/PRF/FNT/0000/0276/A/III/2025</t>
  </si>
  <si>
    <t>Pembongkaran Interior Partisi Gypsum , Kaca, dll &amp; Pengecatan Ulang Tembok - Kantor Yogya- KEN.001.070225 - Purchasing Proses - Pelunasan</t>
  </si>
  <si>
    <t>Office Renovation</t>
  </si>
  <si>
    <t>Realisasi VA BNI - Morin - Maret 2025 - Duplikat Kunci Loker</t>
  </si>
  <si>
    <t>Realisasi VA BNI - Morin - Maret 2025 -  Dulux Ambiance &amp; Kuas eterna</t>
  </si>
  <si>
    <t xml:space="preserve">Realisasi VA BNI - Morin - Maret 2025 -  Antena u/TV </t>
  </si>
  <si>
    <t>Realisasi VA BNI - Morin - Maret 2025 -  Cat aquaproof &amp; serat fiber</t>
  </si>
  <si>
    <t>Realisasi VA BNI - Morin - Maret 2025 -  Ruping  paku</t>
  </si>
  <si>
    <t xml:space="preserve">Realisasi VA BNI - Morin - Maret 2025 - Dulux pentalite grey u/void lantai 3 </t>
  </si>
  <si>
    <t>SPE/PRF/FNT/0000/0273/A/III/2025</t>
  </si>
  <si>
    <t>Cuci AC HO - 13924 - Purchasing Proses</t>
  </si>
  <si>
    <t>Event</t>
  </si>
  <si>
    <t>Budget ID</t>
  </si>
  <si>
    <t>Budget</t>
  </si>
  <si>
    <t>Imlek Celebration</t>
  </si>
  <si>
    <t>Bunga Artificial, Angpau u/ Dekotrasi Imlek</t>
  </si>
  <si>
    <t>Internal Event</t>
  </si>
  <si>
    <t>Jeruk Ponkam, Print Ucapan Imlek</t>
  </si>
  <si>
    <t>SPE 9th Anniversary​</t>
  </si>
  <si>
    <t>Tumpeng Set u/ Anniv SPE 17 Feb 25 - MCSI/39264/MMXXI</t>
  </si>
  <si>
    <t>BBQ Service u/ Anniv SPE 17 Feb 25</t>
  </si>
  <si>
    <t>Ice Cream Walls u/ Anniv SPE 17 Feb 25</t>
  </si>
  <si>
    <t>Realisasi CA 0006/CA/II/2025 - Printing Backdrop 12 Feb 25</t>
  </si>
  <si>
    <t>Realisasi CA 0006/CA/II/2025 - Décor Baloon 08 Feb 25</t>
  </si>
  <si>
    <t>Realisasi CA 0006/CA/II/2025 - Hadiah Campaign - Fitbar 09 Feb 25</t>
  </si>
  <si>
    <t>Realisasi CA 0006/CA/II/2025 - Hadiah Campaign - Timbangan Digital 09 Feb 25</t>
  </si>
  <si>
    <t>Realisasi CA 0006/CA/II/2025 - Hadiah Campaign - Hotto 09 Feb 25</t>
  </si>
  <si>
    <t>Realisasi CA 0006/CA/II/2025 - Hadiah Campaign - Filmty 09 Feb 25</t>
  </si>
  <si>
    <t>Realisasi CA 0006/CA/II/2025 - Hadiah Campaign - BeerU 09 Feb 25</t>
  </si>
  <si>
    <t>Realisasi CA 0007/CA/II/2025 - Lampu LED, Bendera Kain, Cetak Cue Card u/ Anniv SPE</t>
  </si>
  <si>
    <t>Slimpossible</t>
  </si>
  <si>
    <t>Trainer Event Internal SPE - 0001</t>
  </si>
  <si>
    <t>SPEcial Bukber</t>
  </si>
  <si>
    <t xml:space="preserve">Paket Yakiniku Only Regular Weekend </t>
  </si>
  <si>
    <t>Realisasi VA Debit - Pelunasan Bukber SPE di Hachi Grill 17 Mar 25</t>
  </si>
  <si>
    <t>Plafond Service OS - Pramono - January 2025</t>
  </si>
  <si>
    <t>Office Support Service Plafond</t>
  </si>
  <si>
    <t>61010409 - Office Vehicle</t>
  </si>
  <si>
    <t>Pengiriman Expedition JNE 3,6,7,9,13 Januari 2025</t>
  </si>
  <si>
    <t>Expedition</t>
  </si>
  <si>
    <t>61010644 - Expedition</t>
  </si>
  <si>
    <t>Realisasi VA BNI - Reimburse Operational Transport - Mustika - Docotel</t>
  </si>
  <si>
    <t>Grab Transport</t>
  </si>
  <si>
    <t>10617.1016 - Operational Transport HCGA</t>
  </si>
  <si>
    <t>Realisasi VA BNI - Top up flazz , emoney , &amp; Bensin mobil operational avanza</t>
  </si>
  <si>
    <t>Office Vehicle</t>
  </si>
  <si>
    <t>Pemaikan GoCorp Transport - November 2024 - Helpdesk Onsite Bandara Soeta - inv 2000020064/2024</t>
  </si>
  <si>
    <t>Pemaikan GoCorp Transport - Desember 2024 - Loading Barang Logistik - She La Vie - inv 200001651/2025</t>
  </si>
  <si>
    <t>Overtime Driver lepas CBO - Agung Suryatno - 12&amp;18 Januari 2025</t>
  </si>
  <si>
    <t>CBO Transport</t>
  </si>
  <si>
    <t>61010617.1102 - Transport CBO</t>
  </si>
  <si>
    <t>Pengiriman JNE Per 15 - 24 Jan 25</t>
  </si>
  <si>
    <t>Reimburse Transport CEO - Januari 2025</t>
  </si>
  <si>
    <t>61010617.1101 - Transport CEO</t>
  </si>
  <si>
    <t>Reimburse Transport CBO - Januari 2025</t>
  </si>
  <si>
    <t>CEO Transport</t>
  </si>
  <si>
    <t>Plafond Service OS - Pramono - Februari 2025</t>
  </si>
  <si>
    <t xml:space="preserve">Realisasi VA BN - Kirim ATK &amp; Alat Creative - Januari 2025 </t>
  </si>
  <si>
    <t>Realisasi VA BNI - Transport Zola ke Workshop Bank Permata &amp; Pak Renny - Gojek</t>
  </si>
  <si>
    <t>Reimburse Transport Event Jams - Zola Rehana</t>
  </si>
  <si>
    <t>Reimburse Transport Meeting RDTX &amp; MWS - Jasmine Sika</t>
  </si>
  <si>
    <t>Plafond Service OS - Ganti Oli , Injeksi, Slider - Februari 2025</t>
  </si>
  <si>
    <t>Plafond Service OS - Ganti Oli , Ganti Sok Belakang - Februari 2025</t>
  </si>
  <si>
    <t>Realisasi CA Operational GA - Top up flazz avanza  - Februari 2025</t>
  </si>
  <si>
    <t>Realisasi CA Operational GA - Mobil ops  avanza  - Februari 2025</t>
  </si>
  <si>
    <t>Realisasi CA Operational GA - Bensin Antar Dokumen Finance  - Februari 2025</t>
  </si>
  <si>
    <t xml:space="preserve">Expedition JNE 31 Januari - 10 Februari 2025 </t>
  </si>
  <si>
    <t>Pemakaian Grab Corporate 1 Januari - 31 Januari 2025 - Reimbursement Biaya Perjalanan 2025/01/01 - 2025/01/31</t>
  </si>
  <si>
    <t xml:space="preserve">Pemakaian Grab Corporate 1 Januari - 31 Januari 2025 - Reimbursement Biaya Grab Express 2025/01/01 - 2025/01/31						</t>
  </si>
  <si>
    <t>Pemakaian Grab Corporate 1 Januari - 31 Januari 2025 - Management Fee 2025/01/01 - 2025/01/31</t>
  </si>
  <si>
    <t>Plafond Service OS - Pramono - Maret 2025</t>
  </si>
  <si>
    <t>Plafond Service OS - Oti - Maret 2025</t>
  </si>
  <si>
    <t xml:space="preserve">Expedition JNE 20 Februari - 28 Februari 2025 </t>
  </si>
  <si>
    <t>Plafond Service OS - Ganti Oli , Ganti Sok Belakang - Maret 2025</t>
  </si>
  <si>
    <t>Realisasi VA Debit Maret  - Reimburse transport - Tol Bank Indonesia - Maya Andita</t>
  </si>
  <si>
    <t>Realisasi VA Debit Maret - Reimburse transport - Tol &amp; Bensin - Ambil LM - Mustika</t>
  </si>
  <si>
    <t>Realisasi VA Debit Maret - E-Toll mobil operational avanza</t>
  </si>
  <si>
    <t xml:space="preserve">Reimburse Transport - Jasmine Sika - Blue Bird Surabaya , Tol Meeting </t>
  </si>
  <si>
    <t>Reimburse Transport - Tri Subakti - Grab Outsanding</t>
  </si>
  <si>
    <t>Reimburse Transport CBO - Februari 2025</t>
  </si>
  <si>
    <t>Pengiriman Barang Dari Yogya ke Tangerang - Purchasing Prosses - 002/INV/DPAT-SPE/III/2025</t>
  </si>
  <si>
    <t>Realisasi CA Perpanjang Pajak Mobil Opertional Avanza - Yandi Meisa</t>
  </si>
  <si>
    <t>Realisasi CA Perpanjang Pajak Mobil Opertional Avanza - Biaya Parkir &amp; Bensin- Yosa Yanuar</t>
  </si>
  <si>
    <t xml:space="preserve">Expedition JNE 3 - 11 Maret 2025 </t>
  </si>
  <si>
    <t>Transport Cost CFO periode - Februari 2025</t>
  </si>
  <si>
    <t>CFO Transport</t>
  </si>
  <si>
    <t>Management Fee 5% - Periode Februari 2025</t>
  </si>
  <si>
    <t xml:space="preserve">Pemakaian Gocorp Transport periode Februari 2025 - INV 2000005924/2025 &amp; 2200075997/2025  </t>
  </si>
  <si>
    <t>Expedition JNE - 14 Maret 2025</t>
  </si>
  <si>
    <t>Pemakaian Grab Corpo Periode Februari 2025 - Transport -  INV 1560203</t>
  </si>
  <si>
    <t>Pemakaian Grab Corpo Periode Februari 2025 - Expedition -  INV 1560203</t>
  </si>
  <si>
    <t>Pemakaian Grab Corpo Periode Februari 2025 - Management Fee -  INV 1560203</t>
  </si>
  <si>
    <t>Realisasi VA BNI - Morin - Maret 2025 -  Overtime driver lepas CBO - Sahroni - Golf</t>
  </si>
  <si>
    <t>Realisasi VA BNI - Morin - Maret 2025 - Plafond service OS - Sobari - Ganti oli</t>
  </si>
  <si>
    <t>Expedition JNE 20 - 27 Maret 2025</t>
  </si>
  <si>
    <t>Premi Polis Renewal 1 Year - Mobil Operational Avanza - B2522SRC</t>
  </si>
  <si>
    <t>Plafond Service OS - ShellAF6, Ganti oli, Injeksi, SCut - April 2025</t>
  </si>
  <si>
    <t>Plafond Service OS - Kampas rem, Olisel, Ban, dll - April 2025</t>
  </si>
  <si>
    <t>Plafond Service OS - Gemuk, Baut, Tameng, dll - April 2025</t>
  </si>
  <si>
    <t>Reimburse Transport CBO - Maret 2025</t>
  </si>
  <si>
    <t>Transport Cost CFO periode - Maret  2025</t>
  </si>
  <si>
    <t>Employee Name</t>
  </si>
  <si>
    <t>Employee Group</t>
  </si>
  <si>
    <t>Service Type</t>
  </si>
  <si>
    <t>Trip Description</t>
  </si>
  <si>
    <t>Distance</t>
  </si>
  <si>
    <t>Total Fare</t>
  </si>
  <si>
    <t>Yozia Josephine</t>
  </si>
  <si>
    <t>PRO-DEV</t>
  </si>
  <si>
    <t>GrabCar Plus (NEW)</t>
  </si>
  <si>
    <t>meeting BSI</t>
  </si>
  <si>
    <t>meeting BGN</t>
  </si>
  <si>
    <t>Farahdiba</t>
  </si>
  <si>
    <t>BUS-REL</t>
  </si>
  <si>
    <t>Meeting dengan team BRI untuk pembahasan bottle neck integrasi cring briva</t>
  </si>
  <si>
    <t>Diskusi peserta dan materi workshop IT permata</t>
  </si>
  <si>
    <t>Tri Subakti Herman</t>
  </si>
  <si>
    <t>bank dki</t>
  </si>
  <si>
    <t>Lukman Prayogi</t>
  </si>
  <si>
    <t>onsite dki</t>
  </si>
  <si>
    <t>Meeting dengan bpd kaltimtara</t>
  </si>
  <si>
    <t>Jasmine Sika Dewita</t>
  </si>
  <si>
    <t>PA CEO</t>
  </si>
  <si>
    <t>GrabCar</t>
  </si>
  <si>
    <t>ke bank</t>
  </si>
  <si>
    <t>dari bank</t>
  </si>
  <si>
    <t>Bank kaltimtara</t>
  </si>
  <si>
    <t>Kaltimatara</t>
  </si>
  <si>
    <t>Tiara Maulida</t>
  </si>
  <si>
    <t>HCGA</t>
  </si>
  <si>
    <t>ride to docotel group</t>
  </si>
  <si>
    <t>BNI</t>
  </si>
  <si>
    <t>Isdayanti</t>
  </si>
  <si>
    <t>Meeting With Stela Indonesia</t>
  </si>
  <si>
    <t>Lisa Aliasti</t>
  </si>
  <si>
    <t>after meeting stela</t>
  </si>
  <si>
    <t>meeting shareholder</t>
  </si>
  <si>
    <t>GrabCar XL</t>
  </si>
  <si>
    <t>meeting rm bsi</t>
  </si>
  <si>
    <t>Ke telkomsel demo scm</t>
  </si>
  <si>
    <t>pulang meeting bgn</t>
  </si>
  <si>
    <t>meeting bgn dengan kemenkes</t>
  </si>
  <si>
    <t>bank Aladin syariah</t>
  </si>
  <si>
    <t>Aladin</t>
  </si>
  <si>
    <t>Wenzeslaus John Fisher</t>
  </si>
  <si>
    <t>IT-INFRA</t>
  </si>
  <si>
    <t>servicr laptop</t>
  </si>
  <si>
    <t>balik ngantor</t>
  </si>
  <si>
    <t>Agid Kusprasetyo</t>
  </si>
  <si>
    <t>meeting bank aladin</t>
  </si>
  <si>
    <t>Pembahasan rundown workshop permata</t>
  </si>
  <si>
    <t>Lanjut diskusi pembahasan bisnis strategy di workshop</t>
  </si>
  <si>
    <t xml:space="preserve">Permata </t>
  </si>
  <si>
    <t>Ketemu dengan ibu wenny bank permata untuk pembahasan surat perpanjangan pks yang akan berakhir di awal january 2025</t>
  </si>
  <si>
    <t>lunch bank kaltim</t>
  </si>
  <si>
    <t xml:space="preserve">Tencen </t>
  </si>
  <si>
    <t>DKI - Tencen</t>
  </si>
  <si>
    <t>Andy Mahendra Giriseno</t>
  </si>
  <si>
    <t>workshop permata</t>
  </si>
  <si>
    <t>Fitri Amelia</t>
  </si>
  <si>
    <t>FAT, COMPLIANCE</t>
  </si>
  <si>
    <t xml:space="preserve">Seminar pdp </t>
  </si>
  <si>
    <t>Nungky Ayu Palupi</t>
  </si>
  <si>
    <t>Kantor Telkom untuk mengurus penutupan Telepon</t>
  </si>
  <si>
    <t>service laptop</t>
  </si>
  <si>
    <t>balik ke kantor</t>
  </si>
  <si>
    <t>Kembali ke Kantor dari Telkom</t>
  </si>
  <si>
    <t>Vloren Setya Wahyuni</t>
  </si>
  <si>
    <t>Berangkat meeting ke bni anter invoice</t>
  </si>
  <si>
    <t>Seminar pdp aftech</t>
  </si>
  <si>
    <t>Pulang dr bni</t>
  </si>
  <si>
    <t>Meeting dengan rizky dan pak anis (bgn)</t>
  </si>
  <si>
    <t>BGN</t>
  </si>
  <si>
    <t>permata qram meeting</t>
  </si>
  <si>
    <t>invoice pwrmata qram</t>
  </si>
  <si>
    <t>perjalanan ke kantor</t>
  </si>
  <si>
    <t>Apriyanto</t>
  </si>
  <si>
    <t>perjalan menuju data center BSD</t>
  </si>
  <si>
    <t>perjalan menuju kantor SPE</t>
  </si>
  <si>
    <t>client meeting BNI</t>
  </si>
  <si>
    <t>onsite bni</t>
  </si>
  <si>
    <t>Meeting with HKTI</t>
  </si>
  <si>
    <t>pengantaran invoice qram</t>
  </si>
  <si>
    <t>pickup laptop</t>
  </si>
  <si>
    <t>permata qram november 2024</t>
  </si>
  <si>
    <t>meeting bank dki</t>
  </si>
  <si>
    <t>Ali Ashari Akbar</t>
  </si>
  <si>
    <t>Pulang meeting dengan hkti</t>
  </si>
  <si>
    <t xml:space="preserve">BNI </t>
  </si>
  <si>
    <t>invoice va debet</t>
  </si>
  <si>
    <t>meeting dengan V Banking</t>
  </si>
  <si>
    <t>pengambilan voucher</t>
  </si>
  <si>
    <t>Meeting Pic Senayan</t>
  </si>
  <si>
    <t>voucher golf utk bni</t>
  </si>
  <si>
    <t>perjalanan kantor</t>
  </si>
  <si>
    <t>service printer finance</t>
  </si>
  <si>
    <t>meeting with v banking</t>
  </si>
  <si>
    <t>balik kantor</t>
  </si>
  <si>
    <t>Meeting with RM BTN</t>
  </si>
  <si>
    <t>Renny Rustandar</t>
  </si>
  <si>
    <t>urus dokumen pak Rico</t>
  </si>
  <si>
    <t>pengantaran bak qris bni</t>
  </si>
  <si>
    <t>pulang meeting dengan tim btn</t>
  </si>
  <si>
    <t>peejalanan kantor</t>
  </si>
  <si>
    <t>Ahmad Tawakal</t>
  </si>
  <si>
    <t>Meeting BTN</t>
  </si>
  <si>
    <t>Meeting with BTN</t>
  </si>
  <si>
    <t>Zola Rehana Mahardika</t>
  </si>
  <si>
    <t>Meeting dengan AFTECH</t>
  </si>
  <si>
    <t>BAK MWS</t>
  </si>
  <si>
    <t>Meeting AFTECH</t>
  </si>
  <si>
    <t>Meeting With Mudah Indonesia</t>
  </si>
  <si>
    <t>Meeting with Mudah Indonesia</t>
  </si>
  <si>
    <t>Meeting vena brilink</t>
  </si>
  <si>
    <t>Lanjut meeting aligment sama sub telkomsel dan bgn</t>
  </si>
  <si>
    <t>pengantaran invoice qris</t>
  </si>
  <si>
    <t>Habis meeting bgn</t>
  </si>
  <si>
    <t>meeting btn pembukaan rekening</t>
  </si>
  <si>
    <t>mws</t>
  </si>
  <si>
    <t xml:space="preserve">Berangkat event </t>
  </si>
  <si>
    <t>Event JAMS 2025</t>
  </si>
  <si>
    <t>jakarta academy  event</t>
  </si>
  <si>
    <t>event JAMS</t>
  </si>
  <si>
    <t xml:space="preserve">Event JAMS </t>
  </si>
  <si>
    <t>berangkat event</t>
  </si>
  <si>
    <t>GrabBike XL</t>
  </si>
  <si>
    <t xml:space="preserve">EVENT JAMS </t>
  </si>
  <si>
    <t>GrabCar Premium</t>
  </si>
  <si>
    <t>Event jams</t>
  </si>
  <si>
    <t>event jakarta academics</t>
  </si>
  <si>
    <t>Minisocer dengan Bank DKI</t>
  </si>
  <si>
    <t>Bank DKI</t>
  </si>
  <si>
    <t>Jalan pulang ke kantor dari minisoccer Bank DKI</t>
  </si>
  <si>
    <t>bank jateng</t>
  </si>
  <si>
    <t>JAMS DAY 3</t>
  </si>
  <si>
    <t>event JAMS 2025</t>
  </si>
  <si>
    <t>Berangkat ke event</t>
  </si>
  <si>
    <t>Futri Sulistyaningrum</t>
  </si>
  <si>
    <t xml:space="preserve">Event </t>
  </si>
  <si>
    <t>Warisman Yudhi Syam</t>
  </si>
  <si>
    <t>balik kantor dari meeting mas rico</t>
  </si>
  <si>
    <t>After jams</t>
  </si>
  <si>
    <t>GrabCar Hemat</t>
  </si>
  <si>
    <t>Jateng</t>
  </si>
  <si>
    <t>Bank jateng</t>
  </si>
  <si>
    <t>meeting bpd jateng</t>
  </si>
  <si>
    <t>Demo ke PERURI , SCM - BGN</t>
  </si>
  <si>
    <t>Meeting mas Rico</t>
  </si>
  <si>
    <t>Ambil sertfikat pjp ke bi banten</t>
  </si>
  <si>
    <t>Pembahasan revisi scm bgn , urgent hari ini</t>
  </si>
  <si>
    <t>Balik kantor setelah meeting Mas Rico</t>
  </si>
  <si>
    <t>pengantaran invoice bni qris</t>
  </si>
  <si>
    <t xml:space="preserve">Lanjut show case simply onboarding MTani </t>
  </si>
  <si>
    <t>perjalan menuju data center indonesia</t>
  </si>
  <si>
    <t>invoice dki vaq</t>
  </si>
  <si>
    <t>Ambil sertifikat pjp di BI Banten</t>
  </si>
  <si>
    <t>Demo vena MTani</t>
  </si>
  <si>
    <t>perjadin bpd jateng</t>
  </si>
  <si>
    <t>Onsite jateng</t>
  </si>
  <si>
    <t>meeting pt omind muda garapedu</t>
  </si>
  <si>
    <t>Meeting dengan Omind Muda Berkarya Indonesia</t>
  </si>
  <si>
    <t>meeting omind</t>
  </si>
  <si>
    <t>meeting VENA BRILink</t>
  </si>
  <si>
    <t>meeting brilink vena</t>
  </si>
  <si>
    <t>Migrasi server ke tencent via peruri (SCM - BGN)</t>
  </si>
  <si>
    <t>meeting dengan mas Rico</t>
  </si>
  <si>
    <t>Lanjut summary meeting peruri untuk administrasi bgn</t>
  </si>
  <si>
    <t>Habis meeting peruri dan telkomsem</t>
  </si>
  <si>
    <t>Rio Agustra Anjani</t>
  </si>
  <si>
    <t>HIGH LEVEL</t>
  </si>
  <si>
    <t>meeting BNI</t>
  </si>
  <si>
    <t>meeting vena dan bgn</t>
  </si>
  <si>
    <t>meeting dore</t>
  </si>
  <si>
    <t>service laptop jasmine</t>
  </si>
  <si>
    <t>pickup printer finance</t>
  </si>
  <si>
    <t>meeting bni</t>
  </si>
  <si>
    <t>Pulang meeting dengan dore</t>
  </si>
  <si>
    <t>Pengantaran invoice</t>
  </si>
  <si>
    <t>pengantaran invoice</t>
  </si>
  <si>
    <t>perjalanan kantor setelah pengantaran invoice</t>
  </si>
  <si>
    <t>Meeting dengan team OGP Mandiri</t>
  </si>
  <si>
    <t>ke mws</t>
  </si>
  <si>
    <t>dari mws</t>
  </si>
  <si>
    <t>meeting ke pten</t>
  </si>
  <si>
    <t>visit PTEN</t>
  </si>
  <si>
    <t>pengurusan npwp utk OSS</t>
  </si>
  <si>
    <t>Permata</t>
  </si>
  <si>
    <t>Bank Permata</t>
  </si>
  <si>
    <t>Meeting with Jagomart</t>
  </si>
  <si>
    <t>meeting jagomart cring</t>
  </si>
  <si>
    <t>Novotel tgr- acara BI</t>
  </si>
  <si>
    <t>meeting dengan GCP</t>
  </si>
  <si>
    <t>Mirna Morina</t>
  </si>
  <si>
    <t>Car Plus (Mobil Baru)</t>
  </si>
  <si>
    <t>survey hachi grill</t>
  </si>
  <si>
    <t>Car Standard | 6 Kursi (XL)</t>
  </si>
  <si>
    <t>invoice ecoll</t>
  </si>
  <si>
    <t>perjalaman kantor</t>
  </si>
  <si>
    <t>Car Standard</t>
  </si>
  <si>
    <t>service laptop ratih dan steven. pickup laptop dea dan jasmine</t>
  </si>
  <si>
    <t>invoice bni</t>
  </si>
  <si>
    <t>Car Plus (Lebih Baru)</t>
  </si>
  <si>
    <t>meeting hkti</t>
  </si>
  <si>
    <t>Maria Dewi Yunita</t>
  </si>
  <si>
    <t>pembelian materai</t>
  </si>
  <si>
    <t>kantor pos - spe</t>
  </si>
  <si>
    <t>Meeting with stela</t>
  </si>
  <si>
    <t>invoice permata</t>
  </si>
  <si>
    <t>bukber BNI</t>
  </si>
  <si>
    <t>onsite permata</t>
  </si>
  <si>
    <t>Visit audit drc</t>
  </si>
  <si>
    <t>Melengkapi laporan di Polda</t>
  </si>
  <si>
    <t>Rizky Oktaviani</t>
  </si>
  <si>
    <t>Perjalanan ke kantor dari Permata</t>
  </si>
  <si>
    <t>Car Premium</t>
  </si>
  <si>
    <t>pembuatan laporan</t>
  </si>
  <si>
    <t>Alfian Ardi Wijaya</t>
  </si>
  <si>
    <t>TEMPORARY PERJADIN</t>
  </si>
  <si>
    <t>Perjadin Bandung</t>
  </si>
  <si>
    <t>Syahrul Fahrozi</t>
  </si>
  <si>
    <t>berangkat perjadin Alfian</t>
  </si>
  <si>
    <t>pengantaran invoice bni</t>
  </si>
  <si>
    <t>form bni ogp</t>
  </si>
  <si>
    <t>pernata qram</t>
  </si>
  <si>
    <t>perjalanan after antar permata qram</t>
  </si>
  <si>
    <t>Yandi Meisa Putra Kusuma</t>
  </si>
  <si>
    <t>perjalanan dari bukber ceo</t>
  </si>
  <si>
    <t>Perjadin Unpad Bandung</t>
  </si>
  <si>
    <t>saya di area penjemputan, depan indomaret point</t>
  </si>
  <si>
    <t>Perjadin Unpad - dari hotel ke unpad jt nangor</t>
  </si>
  <si>
    <t>pulang perjadin</t>
  </si>
  <si>
    <t>Bukber bareng BTN</t>
  </si>
  <si>
    <t>Pulang dari Bukber BTN</t>
  </si>
  <si>
    <t>Bike Standard</t>
  </si>
  <si>
    <t>overtime, treat barang yogya</t>
  </si>
  <si>
    <t>overtime</t>
  </si>
  <si>
    <t>Pulang Bukber</t>
  </si>
  <si>
    <t>Otw kantor dari bukber</t>
  </si>
  <si>
    <t>pengiriman invoice va debet</t>
  </si>
  <si>
    <t>dokumen kelebgkapan</t>
  </si>
  <si>
    <t>kantor jogja to stasiun tugu</t>
  </si>
  <si>
    <t>permata</t>
  </si>
  <si>
    <t>Alvin Winata</t>
  </si>
  <si>
    <t>IT-DEV</t>
  </si>
  <si>
    <t>bukber permata</t>
  </si>
  <si>
    <t>pulang bukber permata</t>
  </si>
  <si>
    <t>Yohanes Jhon Herels Boyoh</t>
  </si>
  <si>
    <t>Bukber Permata</t>
  </si>
  <si>
    <t>meetinh bgn</t>
  </si>
  <si>
    <t>after dinas jogja</t>
  </si>
  <si>
    <t>Demo mobile sales canvasing ke MTani</t>
  </si>
  <si>
    <t>DKI</t>
  </si>
  <si>
    <t>Diskusi mekanisme onboarding wsob x cring</t>
  </si>
  <si>
    <t>Habis diskusi wsob bri</t>
  </si>
  <si>
    <t>Bukber mandiri bgn</t>
  </si>
  <si>
    <t>BGN - Mandiri</t>
  </si>
  <si>
    <t>Zolandia Ramanda</t>
  </si>
  <si>
    <t>Meeting BNI</t>
  </si>
  <si>
    <t>bukber dki</t>
  </si>
  <si>
    <t>Henady Syahputra</t>
  </si>
  <si>
    <t>Bukber bank dki</t>
  </si>
  <si>
    <t>Dki</t>
  </si>
  <si>
    <t>Pulang bukber bank dki</t>
  </si>
  <si>
    <t>perjalanan pulang dari bukber dkii</t>
  </si>
  <si>
    <t>Balik dari bukber dki</t>
  </si>
  <si>
    <t>Iftar Bank DKI</t>
  </si>
  <si>
    <t>dinas DCI</t>
  </si>
  <si>
    <t>Abdul Rahman</t>
  </si>
  <si>
    <t>Alvi  dari datacenter dci</t>
  </si>
  <si>
    <t>Bukber dengan HKTI</t>
  </si>
  <si>
    <t>meeting HKTI</t>
  </si>
  <si>
    <t>Bukber with wsob bri</t>
  </si>
  <si>
    <t xml:space="preserve">Bank Aceh Syariah </t>
  </si>
  <si>
    <t>meeting mas Rico</t>
  </si>
  <si>
    <t>meeting bpd aceh</t>
  </si>
  <si>
    <t>meeting mas rico</t>
  </si>
  <si>
    <t>pengantaran invoice bni ecoll</t>
  </si>
  <si>
    <t>pengantaran invoice permata</t>
  </si>
  <si>
    <t>meeting remitance</t>
  </si>
  <si>
    <t>Demo Vena ke BGN di Kementan</t>
  </si>
  <si>
    <t>Diskusi update flow cbd</t>
  </si>
  <si>
    <t>bgn</t>
  </si>
  <si>
    <t>Attend BI coaching clinic</t>
  </si>
  <si>
    <t>Karace Uli Hutasoit</t>
  </si>
  <si>
    <t>ke undangan BI</t>
  </si>
  <si>
    <t>asia utama</t>
  </si>
  <si>
    <t>ambil laptop</t>
  </si>
  <si>
    <t>menyusul mas rico</t>
  </si>
  <si>
    <t>penagihan asia utama</t>
  </si>
  <si>
    <t>meeting bapenda</t>
  </si>
  <si>
    <t>Diskusi internal SCM dan ERP di peruri</t>
  </si>
  <si>
    <t>pengantaran bak</t>
  </si>
  <si>
    <t>Regoup perubahan simply app di BGN</t>
  </si>
  <si>
    <t>meeting SPE 2</t>
  </si>
  <si>
    <t>Habis meeting dengan peruri</t>
  </si>
  <si>
    <t>Tagihan Telkom HO - Januari 2024</t>
  </si>
  <si>
    <t>Telephone</t>
  </si>
  <si>
    <t>Top Up PLN - Tangerang - Januari 2025</t>
  </si>
  <si>
    <t>Electricity</t>
  </si>
  <si>
    <t>Top Up PLN - Yogyakarta - Januari 2025</t>
  </si>
  <si>
    <t xml:space="preserve">Realisasi VA BNI - Pascabayar XL PA </t>
  </si>
  <si>
    <t>Top Up Listrik Ho dan Jogja - Februari 2025</t>
  </si>
  <si>
    <t xml:space="preserve">Realisasi VA BN - Iuran Sampah Office Yogyakarta - Januari 2025 </t>
  </si>
  <si>
    <t xml:space="preserve">Realisasi VA BN - Iuran Linkungan Kledokan - Januari 2025 </t>
  </si>
  <si>
    <t xml:space="preserve">Realisasi VA BN - Telkom &amp; Admin Fee - Januari 2025 </t>
  </si>
  <si>
    <t>Realisasi VA BNI - Tambahan Listrik Ruko A 17 dan A20</t>
  </si>
  <si>
    <t>Biaya IPL Ruko A 17 -20 - Januari 2025</t>
  </si>
  <si>
    <t>Biaya AIR Ruko A 17 -20 - Januari 2025</t>
  </si>
  <si>
    <t>Water Supply</t>
  </si>
  <si>
    <t>Tagihan Telkom HO - Februari 2024</t>
  </si>
  <si>
    <t>Realisasi CA Operational GA - Pascabayar XL PA - Februari 2025</t>
  </si>
  <si>
    <t xml:space="preserve">Realisasi VA BNI - Iuran Sampah Ruko DTA Square </t>
  </si>
  <si>
    <t>Requestor</t>
  </si>
  <si>
    <t>Division</t>
  </si>
  <si>
    <t>Meeting Detail</t>
  </si>
  <si>
    <t>Meals Detail</t>
  </si>
  <si>
    <t>Order By</t>
  </si>
  <si>
    <t>Location</t>
  </si>
  <si>
    <t>Jasmine Sika</t>
  </si>
  <si>
    <t>BOD</t>
  </si>
  <si>
    <t>External BOD</t>
  </si>
  <si>
    <t>San Gyu (Hangry Bento &amp; Rice Bowl) - Green Lake</t>
  </si>
  <si>
    <t>Grab Food</t>
  </si>
  <si>
    <t>Mustika Rengganingrum</t>
  </si>
  <si>
    <t>Overtime running PA</t>
  </si>
  <si>
    <t>Fore Coffee - Puri Kembangan</t>
  </si>
  <si>
    <t>Futri Sulistya</t>
  </si>
  <si>
    <t>GA</t>
  </si>
  <si>
    <t>Monthly HL X BOD</t>
  </si>
  <si>
    <t>Nyonya Roti - Poris Plawad Indah</t>
  </si>
  <si>
    <t>8 Spices Nasi Bakar &amp; Ayam Penyet - Petir</t>
  </si>
  <si>
    <t>Meeting Regulator BOD</t>
  </si>
  <si>
    <t>Dapur Ngebul Oma - Meruya - Meruya Utara</t>
  </si>
  <si>
    <t>Meeting Edo Rewash/ cooding MP Aristo</t>
  </si>
  <si>
    <t>Lim Kok Tong Kopitiam Green Lake City - Ruko Colosseum</t>
  </si>
  <si>
    <t xml:space="preserve">BOD With CMP </t>
  </si>
  <si>
    <t>Pisang Madu Unyil - Duri Kosambi</t>
  </si>
  <si>
    <t>BUSREL</t>
  </si>
  <si>
    <t>Kickoff Meeting SPE X Kaltimara</t>
  </si>
  <si>
    <t>Toko Kopi Tuku - Shell Graha Raya</t>
  </si>
  <si>
    <t>Realisasi VA BNI - DS - DP 50% Lunch box  - Kick Off Meeting SPE &amp; BPD Kaltimara - 20 Pax</t>
  </si>
  <si>
    <t>Direct Order</t>
  </si>
  <si>
    <t>Realisasi VA BNI - Rokue - Kick Off Meeting SPE &amp; BPD Kaltimara - 20 Pax</t>
  </si>
  <si>
    <t>Realisasi VA BNI - DS - Pelunasan Lunch box  - Kick Off Meeting SPE &amp; BPD Kaltimara - 20 Pax</t>
  </si>
  <si>
    <t>Realisasi VA BNI - Holland Bakery- Kick Off Meeting SPE &amp; BPD Kaltimara - 20 Pax</t>
  </si>
  <si>
    <t>Realisasi VA BNI - Tuan Modo - lunch box 20 - SPE X BPD Kaltimara</t>
  </si>
  <si>
    <t>Rio Agustra Anjany</t>
  </si>
  <si>
    <t>PRODEV</t>
  </si>
  <si>
    <t>Investigasi kasus</t>
  </si>
  <si>
    <t>Eatlah - GREENLAKE</t>
  </si>
  <si>
    <t>GrabFood</t>
  </si>
  <si>
    <t>Monthly HCGA</t>
  </si>
  <si>
    <t>Jakarta Cheese Factory - Cipondoh</t>
  </si>
  <si>
    <t xml:space="preserve">Internal meeting Prodev </t>
  </si>
  <si>
    <t>Monthly HCGA - Januari</t>
  </si>
  <si>
    <t>Teazzi - Batamera Green Lake</t>
  </si>
  <si>
    <t>Roti Bakar &amp; Kukus Pandawa 5 - Tantular</t>
  </si>
  <si>
    <t>meeting idsec</t>
  </si>
  <si>
    <t>Duta Jus &amp; Buah Potong - Duri Kosambi</t>
  </si>
  <si>
    <t xml:space="preserve">Meeting internal prodev </t>
  </si>
  <si>
    <t>Pisang Goreng Madu PASTI - Green Lake</t>
  </si>
  <si>
    <t xml:space="preserve">Internal meeting prodev </t>
  </si>
  <si>
    <t>Internal prodev</t>
  </si>
  <si>
    <t xml:space="preserve">Internal prodev </t>
  </si>
  <si>
    <t>Sate Madura Pak Heri - Duri Kosambi</t>
  </si>
  <si>
    <t xml:space="preserve">Monthly HL </t>
  </si>
  <si>
    <t>Loaf Bun - Green Lake City</t>
  </si>
  <si>
    <t>Monthly HL</t>
  </si>
  <si>
    <t>Solaria - Puri Junction Tangerang</t>
  </si>
  <si>
    <t>CMP X BOD</t>
  </si>
  <si>
    <t xml:space="preserve">Internal Prodev </t>
  </si>
  <si>
    <t>Kopi Kenangan - Ruko Cordoba Green Lake City</t>
  </si>
  <si>
    <t>Karace Uli</t>
  </si>
  <si>
    <t>FAT</t>
  </si>
  <si>
    <t>External - Hasmicro</t>
  </si>
  <si>
    <t>Holland Bakery - Hasyim Ashari</t>
  </si>
  <si>
    <t xml:space="preserve">External Finance </t>
  </si>
  <si>
    <t>FamilyMart - Metland Puri Cipondoh</t>
  </si>
  <si>
    <t>GrabMart</t>
  </si>
  <si>
    <t>meeting bod boc</t>
  </si>
  <si>
    <t>Re.Juve - Puri Indah Mall</t>
  </si>
  <si>
    <t>Kimukatsu - One District Puri</t>
  </si>
  <si>
    <t xml:space="preserve">Lunch hasmicro </t>
  </si>
  <si>
    <t>Dailybox - Greenlake City</t>
  </si>
  <si>
    <t>tamu BNI</t>
  </si>
  <si>
    <t>Viola Rizka</t>
  </si>
  <si>
    <t xml:space="preserve">Meeting share holder </t>
  </si>
  <si>
    <t>Warung Mamah Diah - Pondok Bahar</t>
  </si>
  <si>
    <t xml:space="preserve">Meeting Share holder </t>
  </si>
  <si>
    <t xml:space="preserve">Meeting shareholder </t>
  </si>
  <si>
    <t>UD Bumbu Rambe - Duri Kosambi</t>
  </si>
  <si>
    <t>Lisa Ponike</t>
  </si>
  <si>
    <t xml:space="preserve">BPD Kaltimara </t>
  </si>
  <si>
    <t>Rokue Snack - Green Lake City</t>
  </si>
  <si>
    <t>Expert slimpossible</t>
  </si>
  <si>
    <t>Arima Snack - Sudimara Timur</t>
  </si>
  <si>
    <t xml:space="preserve">Meeting external BOD </t>
  </si>
  <si>
    <t xml:space="preserve">External BOD </t>
  </si>
  <si>
    <t>meeting itsec</t>
  </si>
  <si>
    <t>Meeting shareholder</t>
  </si>
  <si>
    <t>meeting share holder</t>
  </si>
  <si>
    <t>The Harvest - Cipondoh</t>
  </si>
  <si>
    <t>Monthly BOD x HL</t>
  </si>
  <si>
    <t>bukber bod boc</t>
  </si>
  <si>
    <t>Donat Bahagia - Ruko Marchand Hype Station</t>
  </si>
  <si>
    <t>bukber boc bod</t>
  </si>
  <si>
    <t>Re.Juve - JEC Menteng</t>
  </si>
  <si>
    <t>Dimsum Hagie - Kebon Kacang</t>
  </si>
  <si>
    <t>Viola Rizka Effendi</t>
  </si>
  <si>
    <t>Bukber BOD dan Komisaris</t>
  </si>
  <si>
    <t>Takjil ramadhan cikini - Pegangsaan</t>
  </si>
  <si>
    <t xml:space="preserve">CFK pak Aristo </t>
  </si>
  <si>
    <t>Berkah Adi Buah - Paninggilan Utara</t>
  </si>
  <si>
    <t xml:space="preserve">Monthly HCGA </t>
  </si>
  <si>
    <t>Mo Tahu Aja! - Greenlake</t>
  </si>
  <si>
    <t xml:space="preserve">Monthly HL &amp; BOD </t>
  </si>
  <si>
    <t>ARAH Coffee - Green Lake City</t>
  </si>
  <si>
    <t xml:space="preserve">Meeting BOD , IT SEC </t>
  </si>
  <si>
    <t xml:space="preserve">meeting BOdD X IT SEC </t>
  </si>
  <si>
    <t>Pecel LeLe Fais - Karang Tengah</t>
  </si>
  <si>
    <t xml:space="preserve">Meeting BOD 8 orang </t>
  </si>
  <si>
    <t>Emados Shawarma - Cipondoh</t>
  </si>
  <si>
    <t>External BOD 10 orang</t>
  </si>
  <si>
    <t>Joiner Rate</t>
  </si>
  <si>
    <t>Cost</t>
  </si>
  <si>
    <t>Event Held</t>
  </si>
  <si>
    <t>Bultangs</t>
  </si>
  <si>
    <t>Hom Ping Pong</t>
  </si>
  <si>
    <t>Minisoc</t>
  </si>
  <si>
    <t>GA Received  Date</t>
  </si>
  <si>
    <t>Send To  Purchasing</t>
  </si>
  <si>
    <t>Detail PR</t>
  </si>
  <si>
    <t>Qty</t>
  </si>
  <si>
    <t>Unit</t>
  </si>
  <si>
    <t>Due Date</t>
  </si>
  <si>
    <t>Overdue 
Days</t>
  </si>
  <si>
    <t>GR 
Date</t>
  </si>
  <si>
    <t>Note</t>
  </si>
  <si>
    <t>Status Payment</t>
  </si>
  <si>
    <t>Vendor Name</t>
  </si>
  <si>
    <t>Futri</t>
  </si>
  <si>
    <t>Toiletries facial multifold - Januari - June 2025</t>
  </si>
  <si>
    <t>Pengiriman selanjtnya 12 februari 2025</t>
  </si>
  <si>
    <t>Busrsa, CV</t>
  </si>
  <si>
    <t>Toiletries tissue facial - Januari - June 2025</t>
  </si>
  <si>
    <t>Yandi</t>
  </si>
  <si>
    <t>Phillips bulb 10 watt white</t>
  </si>
  <si>
    <t>61010405 - RM Mechanical &amp; Electrical</t>
  </si>
  <si>
    <t xml:space="preserve">Phillips bulb warm white </t>
  </si>
  <si>
    <t>Inlite panel 12 watt ( inps628R) white</t>
  </si>
  <si>
    <t>Solasi listrik nitto</t>
  </si>
  <si>
    <t>Insulasi pipa ac ARMAFLEX / Superlon</t>
  </si>
  <si>
    <t>Morin</t>
  </si>
  <si>
    <t>Hadiah lebaran security greenlake</t>
  </si>
  <si>
    <t>Pcs</t>
  </si>
  <si>
    <t>61010631 - Social Donation</t>
  </si>
  <si>
    <t>Nungky</t>
  </si>
  <si>
    <t>Jasa pengiriman trucking barang - Yogya</t>
  </si>
  <si>
    <t>Jasa dismanting indoor &amp; outdoor AC split , Sewa skalfolding</t>
  </si>
  <si>
    <t>Pencabutan KWH listrik kantor Yogya</t>
  </si>
  <si>
    <r>
      <t>Expense Charge Kick Off SPE X BPD Kaltimara</t>
    </r>
    <r>
      <rPr>
        <sz val="11"/>
        <color rgb="FF000000"/>
        <rFont val="Calibri"/>
        <family val="2"/>
      </rPr>
      <t>​</t>
    </r>
  </si>
  <si>
    <t>Day 1 , 14 Jan 2025</t>
  </si>
  <si>
    <t>Foree Coffe (20 cup)</t>
  </si>
  <si>
    <t>Rokue Snack (20 box)</t>
  </si>
  <si>
    <t>Dapur Solo (20 box)</t>
  </si>
  <si>
    <t>Total Expense​</t>
  </si>
  <si>
    <t>Day 2 , 15 Jan 2025</t>
  </si>
  <si>
    <t>Tuku Coffee (20 cup)</t>
  </si>
  <si>
    <t>Holland Bakery (20 box)</t>
  </si>
  <si>
    <t>Tuan Mudo (20 box)</t>
  </si>
  <si>
    <r>
      <t>Total Expense</t>
    </r>
    <r>
      <rPr>
        <sz val="11"/>
        <color rgb="FF000000"/>
        <rFont val="Calibri"/>
        <family val="2"/>
      </rPr>
      <t>​</t>
    </r>
  </si>
  <si>
    <t>Source</t>
  </si>
  <si>
    <t>Operational</t>
  </si>
  <si>
    <t>Building &amp; Facilities</t>
  </si>
  <si>
    <t>Transportation</t>
  </si>
  <si>
    <t>Outsource</t>
  </si>
  <si>
    <t>Utility</t>
  </si>
  <si>
    <t>Category Spective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</si>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</sst>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m&quot; &quot;"/>
    <numFmt numFmtId="165" formatCode="[$Rp-421]#,##0"/>
    <numFmt numFmtId="166" formatCode="&quot;Rp&quot;#,##0"/>
    <numFmt numFmtId="167" formatCode="mmmyyyy"/>
    <numFmt numFmtId="168" formatCode="dd/mm/yyyy\ h:mm"/>
    <numFmt numFmtId="169" formatCode="_-[$Rp-421]* #,##0_-;\-[$Rp-421]* #,##0_-;_-[$Rp-421]* &quot;-&quot;_-;_-@_-"/>
    <numFmt numFmtId="170" formatCode="_-[$Rp-421]* #,##0.00_-;\-[$Rp-421]* #,##0.00_-;_-[$Rp-421]* &quot;-&quot;??_-;_-@_-"/>
    <numFmt numFmtId="171" formatCode="_-[$Rp-421]* #,##0_-;\-[$Rp-421]* #,##0_-;_-[$Rp-421]* &quot;-&quot;??_-;_-@_-"/>
  </numFmts>
  <fonts count="2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Nunito"/>
      <charset val="1"/>
    </font>
    <font>
      <sz val="11"/>
      <color rgb="FF242424"/>
      <name val="Aptos Narrow"/>
      <family val="2"/>
    </font>
    <font>
      <b/>
      <sz val="11"/>
      <color rgb="FF000000"/>
      <name val="Calibri"/>
      <family val="2"/>
    </font>
    <font>
      <b/>
      <sz val="8"/>
      <color theme="1"/>
      <name val="Helvetica Neue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Browallia New"/>
      <family val="2"/>
      <charset val="22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599"/>
        <bgColor rgb="FFFFE599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4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3" borderId="0" xfId="0" applyFont="1" applyFill="1"/>
    <xf numFmtId="165" fontId="3" fillId="3" borderId="0" xfId="0" applyNumberFormat="1" applyFont="1" applyFill="1" applyAlignment="1">
      <alignment horizontal="right"/>
    </xf>
    <xf numFmtId="0" fontId="5" fillId="0" borderId="0" xfId="0" applyFont="1"/>
    <xf numFmtId="0" fontId="6" fillId="3" borderId="0" xfId="0" applyFont="1" applyFill="1"/>
    <xf numFmtId="0" fontId="5" fillId="3" borderId="0" xfId="0" applyFont="1" applyFill="1"/>
    <xf numFmtId="165" fontId="5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3" borderId="0" xfId="0" applyNumberFormat="1" applyFont="1" applyFill="1" applyAlignment="1">
      <alignment horizontal="right"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right"/>
    </xf>
    <xf numFmtId="164" fontId="5" fillId="3" borderId="0" xfId="0" applyNumberFormat="1" applyFont="1" applyFill="1" applyAlignment="1">
      <alignment horizontal="center" vertical="top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quotePrefix="1" applyFont="1" applyAlignment="1">
      <alignment horizontal="left" vertical="top"/>
    </xf>
    <xf numFmtId="166" fontId="5" fillId="3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3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3" borderId="0" xfId="0" applyNumberFormat="1" applyFont="1" applyFill="1" applyAlignment="1">
      <alignment horizontal="left" vertical="top"/>
    </xf>
    <xf numFmtId="0" fontId="0" fillId="0" borderId="0" xfId="0" applyAlignment="1">
      <alignment horizontal="left"/>
    </xf>
    <xf numFmtId="0" fontId="7" fillId="4" borderId="0" xfId="0" applyFont="1" applyFill="1"/>
    <xf numFmtId="0" fontId="7" fillId="0" borderId="0" xfId="0" applyFont="1"/>
    <xf numFmtId="169" fontId="7" fillId="4" borderId="0" xfId="0" applyNumberFormat="1" applyFont="1" applyFill="1"/>
    <xf numFmtId="169" fontId="7" fillId="0" borderId="0" xfId="0" applyNumberFormat="1" applyFont="1" applyAlignment="1">
      <alignment horizontal="right"/>
    </xf>
    <xf numFmtId="169" fontId="3" fillId="3" borderId="0" xfId="0" applyNumberFormat="1" applyFont="1" applyFill="1" applyAlignment="1">
      <alignment horizontal="right"/>
    </xf>
    <xf numFmtId="169" fontId="3" fillId="0" borderId="0" xfId="0" applyNumberFormat="1" applyFont="1" applyAlignment="1">
      <alignment horizontal="right"/>
    </xf>
    <xf numFmtId="169" fontId="5" fillId="3" borderId="0" xfId="0" applyNumberFormat="1" applyFont="1" applyFill="1" applyAlignment="1">
      <alignment horizontal="right"/>
    </xf>
    <xf numFmtId="169" fontId="3" fillId="3" borderId="0" xfId="0" applyNumberFormat="1" applyFont="1" applyFill="1" applyAlignment="1">
      <alignment horizontal="right" vertical="top"/>
    </xf>
    <xf numFmtId="169" fontId="5" fillId="0" borderId="0" xfId="0" applyNumberFormat="1" applyFont="1" applyAlignment="1">
      <alignment horizontal="right"/>
    </xf>
    <xf numFmtId="169" fontId="5" fillId="3" borderId="0" xfId="0" applyNumberFormat="1" applyFont="1" applyFill="1" applyAlignment="1">
      <alignment horizontal="right" vertical="top"/>
    </xf>
    <xf numFmtId="169" fontId="0" fillId="0" borderId="0" xfId="0" applyNumberFormat="1"/>
    <xf numFmtId="169" fontId="4" fillId="2" borderId="0" xfId="0" applyNumberFormat="1" applyFont="1" applyFill="1" applyAlignment="1">
      <alignment horizontal="center"/>
    </xf>
    <xf numFmtId="169" fontId="5" fillId="4" borderId="0" xfId="0" applyNumberFormat="1" applyFont="1" applyFill="1" applyAlignment="1">
      <alignment horizontal="right"/>
    </xf>
    <xf numFmtId="169" fontId="5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/>
    <xf numFmtId="169" fontId="3" fillId="0" borderId="0" xfId="0" applyNumberFormat="1" applyFont="1"/>
    <xf numFmtId="169" fontId="8" fillId="0" borderId="0" xfId="0" applyNumberFormat="1" applyFont="1"/>
    <xf numFmtId="0" fontId="8" fillId="0" borderId="0" xfId="0" applyFont="1" applyAlignment="1">
      <alignment horizontal="left"/>
    </xf>
    <xf numFmtId="0" fontId="9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9" fontId="4" fillId="2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3" fillId="0" borderId="1" xfId="0" applyFont="1" applyBorder="1"/>
    <xf numFmtId="169" fontId="3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5" fillId="5" borderId="0" xfId="0" applyFont="1" applyFill="1"/>
    <xf numFmtId="0" fontId="3" fillId="5" borderId="0" xfId="0" applyFont="1" applyFill="1"/>
    <xf numFmtId="0" fontId="5" fillId="5" borderId="0" xfId="0" quotePrefix="1" applyFont="1" applyFill="1"/>
    <xf numFmtId="0" fontId="7" fillId="5" borderId="0" xfId="0" applyFont="1" applyFill="1"/>
    <xf numFmtId="0" fontId="0" fillId="5" borderId="0" xfId="0" applyFill="1"/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3" xfId="0" applyFont="1" applyBorder="1"/>
    <xf numFmtId="0" fontId="10" fillId="0" borderId="0" xfId="0" applyFont="1"/>
    <xf numFmtId="169" fontId="4" fillId="0" borderId="0" xfId="0" applyNumberFormat="1" applyFont="1"/>
    <xf numFmtId="0" fontId="5" fillId="0" borderId="1" xfId="0" applyFont="1" applyBorder="1" applyAlignment="1">
      <alignment horizontal="left"/>
    </xf>
    <xf numFmtId="169" fontId="7" fillId="0" borderId="0" xfId="0" applyNumberFormat="1" applyFont="1"/>
    <xf numFmtId="169" fontId="7" fillId="0" borderId="0" xfId="0" applyNumberFormat="1" applyFont="1" applyAlignment="1">
      <alignment vertical="center"/>
    </xf>
    <xf numFmtId="169" fontId="5" fillId="0" borderId="0" xfId="0" applyNumberFormat="1" applyFont="1" applyAlignment="1">
      <alignment horizontal="center" vertical="center"/>
    </xf>
    <xf numFmtId="169" fontId="4" fillId="5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169" fontId="11" fillId="6" borderId="0" xfId="0" applyNumberFormat="1" applyFont="1" applyFill="1" applyAlignment="1">
      <alignment horizontal="center" vertical="center" wrapText="1"/>
    </xf>
    <xf numFmtId="16" fontId="3" fillId="0" borderId="0" xfId="0" applyNumberFormat="1" applyFont="1"/>
    <xf numFmtId="16" fontId="3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top"/>
    </xf>
    <xf numFmtId="0" fontId="12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top"/>
    </xf>
    <xf numFmtId="0" fontId="12" fillId="7" borderId="1" xfId="0" applyFont="1" applyFill="1" applyBorder="1" applyAlignment="1">
      <alignment horizontal="center" vertical="center"/>
    </xf>
    <xf numFmtId="0" fontId="5" fillId="0" borderId="4" xfId="0" applyFont="1" applyBorder="1"/>
    <xf numFmtId="169" fontId="5" fillId="0" borderId="1" xfId="0" applyNumberFormat="1" applyFont="1" applyBorder="1"/>
    <xf numFmtId="169" fontId="5" fillId="0" borderId="1" xfId="0" applyNumberFormat="1" applyFont="1" applyBorder="1" applyAlignment="1">
      <alignment horizontal="right"/>
    </xf>
    <xf numFmtId="169" fontId="5" fillId="0" borderId="0" xfId="0" applyNumberFormat="1" applyFont="1" applyAlignment="1">
      <alignment horizontal="right" vertical="top"/>
    </xf>
    <xf numFmtId="0" fontId="3" fillId="0" borderId="0" xfId="0" quotePrefix="1" applyFont="1"/>
    <xf numFmtId="1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" fontId="3" fillId="0" borderId="0" xfId="0" applyNumberFormat="1" applyFont="1" applyAlignment="1">
      <alignment vertical="center"/>
    </xf>
    <xf numFmtId="0" fontId="3" fillId="0" borderId="0" xfId="0" applyFont="1" applyAlignment="1">
      <alignment wrapText="1"/>
    </xf>
    <xf numFmtId="164" fontId="13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169" fontId="14" fillId="0" borderId="1" xfId="0" applyNumberFormat="1" applyFont="1" applyBorder="1" applyAlignment="1">
      <alignment horizontal="right"/>
    </xf>
    <xf numFmtId="0" fontId="15" fillId="0" borderId="1" xfId="0" applyFont="1" applyBorder="1"/>
    <xf numFmtId="0" fontId="13" fillId="4" borderId="1" xfId="0" applyFont="1" applyFill="1" applyBorder="1" applyAlignment="1">
      <alignment vertical="center"/>
    </xf>
    <xf numFmtId="0" fontId="14" fillId="0" borderId="5" xfId="0" applyFont="1" applyBorder="1"/>
    <xf numFmtId="169" fontId="13" fillId="0" borderId="1" xfId="0" applyNumberFormat="1" applyFont="1" applyBorder="1" applyAlignment="1">
      <alignment horizontal="right"/>
    </xf>
    <xf numFmtId="169" fontId="4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169" fontId="8" fillId="0" borderId="1" xfId="0" applyNumberFormat="1" applyFont="1" applyBorder="1"/>
    <xf numFmtId="165" fontId="5" fillId="0" borderId="1" xfId="0" applyNumberFormat="1" applyFont="1" applyBorder="1"/>
    <xf numFmtId="169" fontId="4" fillId="0" borderId="1" xfId="0" applyNumberFormat="1" applyFont="1" applyBorder="1"/>
    <xf numFmtId="164" fontId="5" fillId="0" borderId="3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8" fillId="0" borderId="3" xfId="0" applyFont="1" applyBorder="1"/>
    <xf numFmtId="165" fontId="5" fillId="0" borderId="3" xfId="0" applyNumberFormat="1" applyFont="1" applyBorder="1"/>
    <xf numFmtId="169" fontId="10" fillId="0" borderId="1" xfId="0" applyNumberFormat="1" applyFont="1" applyBorder="1"/>
    <xf numFmtId="0" fontId="5" fillId="3" borderId="1" xfId="0" applyFont="1" applyFill="1" applyBorder="1"/>
    <xf numFmtId="169" fontId="5" fillId="3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vertical="center"/>
    </xf>
    <xf numFmtId="169" fontId="5" fillId="4" borderId="1" xfId="0" applyNumberFormat="1" applyFont="1" applyFill="1" applyBorder="1" applyAlignment="1">
      <alignment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4" fontId="5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14" fontId="5" fillId="0" borderId="3" xfId="0" applyNumberFormat="1" applyFont="1" applyBorder="1" applyAlignment="1">
      <alignment horizontal="center" vertical="top"/>
    </xf>
    <xf numFmtId="0" fontId="5" fillId="4" borderId="1" xfId="0" applyFont="1" applyFill="1" applyBorder="1"/>
    <xf numFmtId="0" fontId="4" fillId="2" borderId="2" xfId="0" applyFont="1" applyFill="1" applyBorder="1" applyAlignment="1">
      <alignment horizontal="center"/>
    </xf>
    <xf numFmtId="168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/>
    <xf numFmtId="169" fontId="3" fillId="0" borderId="1" xfId="0" applyNumberFormat="1" applyFont="1" applyBorder="1"/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8" fillId="0" borderId="2" xfId="0" applyFont="1" applyBorder="1"/>
    <xf numFmtId="165" fontId="5" fillId="0" borderId="2" xfId="0" applyNumberFormat="1" applyFont="1" applyBorder="1"/>
    <xf numFmtId="0" fontId="5" fillId="0" borderId="2" xfId="0" applyFont="1" applyBorder="1"/>
    <xf numFmtId="0" fontId="16" fillId="0" borderId="1" xfId="0" applyFont="1" applyBorder="1"/>
    <xf numFmtId="0" fontId="16" fillId="5" borderId="1" xfId="0" applyFont="1" applyFill="1" applyBorder="1"/>
    <xf numFmtId="0" fontId="3" fillId="5" borderId="1" xfId="0" applyFont="1" applyFill="1" applyBorder="1"/>
    <xf numFmtId="14" fontId="5" fillId="4" borderId="6" xfId="0" applyNumberFormat="1" applyFont="1" applyFill="1" applyBorder="1" applyAlignment="1">
      <alignment horizontal="center"/>
    </xf>
    <xf numFmtId="169" fontId="5" fillId="0" borderId="3" xfId="0" applyNumberFormat="1" applyFont="1" applyBorder="1"/>
    <xf numFmtId="169" fontId="5" fillId="0" borderId="2" xfId="0" applyNumberFormat="1" applyFont="1" applyBorder="1"/>
    <xf numFmtId="169" fontId="16" fillId="0" borderId="1" xfId="0" applyNumberFormat="1" applyFont="1" applyBorder="1"/>
    <xf numFmtId="169" fontId="16" fillId="5" borderId="1" xfId="0" applyNumberFormat="1" applyFont="1" applyFill="1" applyBorder="1"/>
    <xf numFmtId="0" fontId="3" fillId="5" borderId="2" xfId="0" applyFont="1" applyFill="1" applyBorder="1"/>
    <xf numFmtId="0" fontId="8" fillId="0" borderId="7" xfId="0" applyFont="1" applyBorder="1"/>
    <xf numFmtId="0" fontId="16" fillId="5" borderId="2" xfId="0" applyFont="1" applyFill="1" applyBorder="1"/>
    <xf numFmtId="0" fontId="5" fillId="0" borderId="8" xfId="0" applyFont="1" applyBorder="1"/>
    <xf numFmtId="0" fontId="8" fillId="0" borderId="6" xfId="0" applyFont="1" applyBorder="1"/>
    <xf numFmtId="169" fontId="5" fillId="0" borderId="6" xfId="0" applyNumberFormat="1" applyFont="1" applyBorder="1"/>
    <xf numFmtId="0" fontId="5" fillId="0" borderId="7" xfId="0" applyFont="1" applyBorder="1"/>
    <xf numFmtId="0" fontId="16" fillId="5" borderId="6" xfId="0" applyFont="1" applyFill="1" applyBorder="1"/>
    <xf numFmtId="0" fontId="8" fillId="0" borderId="0" xfId="0" applyFont="1" applyAlignment="1">
      <alignment wrapText="1"/>
    </xf>
    <xf numFmtId="14" fontId="5" fillId="0" borderId="9" xfId="0" applyNumberFormat="1" applyFont="1" applyBorder="1" applyAlignment="1">
      <alignment horizontal="center"/>
    </xf>
    <xf numFmtId="0" fontId="8" fillId="0" borderId="10" xfId="0" applyFont="1" applyBorder="1"/>
    <xf numFmtId="0" fontId="8" fillId="0" borderId="9" xfId="0" applyFont="1" applyBorder="1"/>
    <xf numFmtId="170" fontId="8" fillId="0" borderId="0" xfId="0" applyNumberFormat="1" applyFont="1"/>
    <xf numFmtId="164" fontId="3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wrapText="1"/>
    </xf>
    <xf numFmtId="169" fontId="8" fillId="0" borderId="2" xfId="0" applyNumberFormat="1" applyFont="1" applyBorder="1"/>
    <xf numFmtId="164" fontId="3" fillId="0" borderId="7" xfId="0" applyNumberFormat="1" applyFont="1" applyBorder="1" applyAlignment="1">
      <alignment horizontal="left"/>
    </xf>
    <xf numFmtId="0" fontId="8" fillId="0" borderId="7" xfId="0" applyFont="1" applyBorder="1" applyAlignment="1">
      <alignment wrapText="1"/>
    </xf>
    <xf numFmtId="0" fontId="17" fillId="4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left" vertical="top"/>
    </xf>
    <xf numFmtId="169" fontId="5" fillId="5" borderId="1" xfId="0" applyNumberFormat="1" applyFont="1" applyFill="1" applyBorder="1" applyAlignment="1">
      <alignment horizontal="right" vertical="top"/>
    </xf>
    <xf numFmtId="164" fontId="5" fillId="5" borderId="1" xfId="0" applyNumberFormat="1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center" vertical="top"/>
    </xf>
    <xf numFmtId="0" fontId="5" fillId="5" borderId="3" xfId="0" applyFont="1" applyFill="1" applyBorder="1" applyAlignment="1">
      <alignment horizontal="left" vertical="top"/>
    </xf>
    <xf numFmtId="0" fontId="5" fillId="5" borderId="7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5" fillId="5" borderId="3" xfId="0" applyFont="1" applyFill="1" applyBorder="1" applyAlignment="1">
      <alignment vertical="top"/>
    </xf>
    <xf numFmtId="0" fontId="5" fillId="5" borderId="4" xfId="0" applyFont="1" applyFill="1" applyBorder="1" applyAlignment="1">
      <alignment vertical="top"/>
    </xf>
    <xf numFmtId="0" fontId="5" fillId="5" borderId="2" xfId="0" applyFont="1" applyFill="1" applyBorder="1" applyAlignment="1">
      <alignment vertical="top"/>
    </xf>
    <xf numFmtId="0" fontId="5" fillId="5" borderId="1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169" fontId="5" fillId="0" borderId="1" xfId="0" applyNumberFormat="1" applyFont="1" applyBorder="1" applyAlignment="1">
      <alignment horizontal="right" vertical="top"/>
    </xf>
    <xf numFmtId="169" fontId="5" fillId="5" borderId="2" xfId="0" applyNumberFormat="1" applyFont="1" applyFill="1" applyBorder="1" applyAlignment="1">
      <alignment horizontal="right" vertical="center"/>
    </xf>
    <xf numFmtId="169" fontId="5" fillId="0" borderId="6" xfId="0" applyNumberFormat="1" applyFont="1" applyBorder="1" applyAlignment="1">
      <alignment horizontal="right"/>
    </xf>
    <xf numFmtId="169" fontId="5" fillId="5" borderId="1" xfId="0" applyNumberFormat="1" applyFont="1" applyFill="1" applyBorder="1" applyAlignment="1">
      <alignment horizontal="right"/>
    </xf>
    <xf numFmtId="169" fontId="5" fillId="5" borderId="1" xfId="0" applyNumberFormat="1" applyFont="1" applyFill="1" applyBorder="1" applyAlignment="1">
      <alignment horizontal="right" vertical="center"/>
    </xf>
    <xf numFmtId="169" fontId="5" fillId="5" borderId="2" xfId="0" applyNumberFormat="1" applyFont="1" applyFill="1" applyBorder="1" applyAlignment="1">
      <alignment horizontal="right"/>
    </xf>
    <xf numFmtId="169" fontId="5" fillId="5" borderId="6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top"/>
    </xf>
    <xf numFmtId="164" fontId="5" fillId="0" borderId="1" xfId="0" applyNumberFormat="1" applyFont="1" applyBorder="1" applyAlignment="1">
      <alignment horizontal="left" vertical="top"/>
    </xf>
    <xf numFmtId="164" fontId="5" fillId="4" borderId="1" xfId="0" applyNumberFormat="1" applyFont="1" applyFill="1" applyBorder="1" applyAlignment="1">
      <alignment horizontal="left" vertical="top"/>
    </xf>
    <xf numFmtId="164" fontId="5" fillId="4" borderId="1" xfId="0" applyNumberFormat="1" applyFont="1" applyFill="1" applyBorder="1" applyAlignment="1">
      <alignment horizontal="left"/>
    </xf>
    <xf numFmtId="164" fontId="5" fillId="4" borderId="0" xfId="0" applyNumberFormat="1" applyFont="1" applyFill="1" applyAlignment="1">
      <alignment horizontal="center" vertical="top"/>
    </xf>
    <xf numFmtId="0" fontId="5" fillId="0" borderId="2" xfId="0" applyFont="1" applyBorder="1" applyAlignment="1">
      <alignment vertical="top" wrapText="1"/>
    </xf>
    <xf numFmtId="169" fontId="5" fillId="5" borderId="2" xfId="0" applyNumberFormat="1" applyFont="1" applyFill="1" applyBorder="1" applyAlignment="1">
      <alignment horizontal="right" vertical="top"/>
    </xf>
    <xf numFmtId="0" fontId="5" fillId="0" borderId="11" xfId="0" applyFont="1" applyBorder="1"/>
    <xf numFmtId="0" fontId="5" fillId="0" borderId="1" xfId="0" quotePrefix="1" applyFont="1" applyBorder="1"/>
    <xf numFmtId="169" fontId="5" fillId="5" borderId="7" xfId="0" applyNumberFormat="1" applyFont="1" applyFill="1" applyBorder="1" applyAlignment="1">
      <alignment horizontal="right" vertical="top"/>
    </xf>
    <xf numFmtId="164" fontId="5" fillId="4" borderId="9" xfId="0" applyNumberFormat="1" applyFont="1" applyFill="1" applyBorder="1" applyAlignment="1">
      <alignment horizontal="left" vertical="top"/>
    </xf>
    <xf numFmtId="164" fontId="5" fillId="4" borderId="7" xfId="0" applyNumberFormat="1" applyFont="1" applyFill="1" applyBorder="1" applyAlignment="1">
      <alignment horizontal="left" vertical="top"/>
    </xf>
    <xf numFmtId="0" fontId="3" fillId="3" borderId="12" xfId="0" applyFont="1" applyFill="1" applyBorder="1"/>
    <xf numFmtId="0" fontId="3" fillId="3" borderId="6" xfId="0" applyFont="1" applyFill="1" applyBorder="1"/>
    <xf numFmtId="0" fontId="4" fillId="2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left"/>
    </xf>
    <xf numFmtId="171" fontId="8" fillId="0" borderId="1" xfId="0" applyNumberFormat="1" applyFont="1" applyBorder="1"/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wrapText="1"/>
    </xf>
    <xf numFmtId="164" fontId="13" fillId="0" borderId="1" xfId="0" applyNumberFormat="1" applyFont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vertical="center"/>
    </xf>
    <xf numFmtId="0" fontId="1" fillId="0" borderId="0" xfId="0" applyFont="1"/>
    <xf numFmtId="169" fontId="1" fillId="0" borderId="0" xfId="0" applyNumberFormat="1" applyFont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169" fontId="1" fillId="4" borderId="0" xfId="0" applyNumberFormat="1" applyFont="1" applyFill="1" applyAlignment="1">
      <alignment horizontal="right"/>
    </xf>
    <xf numFmtId="0" fontId="1" fillId="5" borderId="0" xfId="0" applyFont="1" applyFill="1"/>
    <xf numFmtId="0" fontId="18" fillId="0" borderId="0" xfId="0" applyFont="1"/>
    <xf numFmtId="0" fontId="19" fillId="8" borderId="0" xfId="0" applyFont="1" applyFill="1"/>
    <xf numFmtId="0" fontId="11" fillId="6" borderId="0" xfId="0" applyFont="1" applyFill="1" applyAlignment="1">
      <alignment horizontal="center" wrapText="1"/>
    </xf>
    <xf numFmtId="0" fontId="11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E5F1FB"/>
      <color rgb="FF4CDBEA"/>
      <color rgb="FF007A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E22D-99F7-4178-8A82-46ED2E9745AE}">
  <sheetPr>
    <outlinePr summaryBelow="0" summaryRight="0"/>
  </sheetPr>
  <dimension ref="A1:G285"/>
  <sheetViews>
    <sheetView showGridLines="0" topLeftCell="D1" workbookViewId="0">
      <selection sqref="A1:G8"/>
    </sheetView>
  </sheetViews>
  <sheetFormatPr defaultColWidth="12.54296875" defaultRowHeight="15.75" customHeight="1"/>
  <cols>
    <col min="1" max="1" width="11.26953125" bestFit="1" customWidth="1"/>
    <col min="2" max="2" width="17.453125" customWidth="1"/>
    <col min="3" max="3" width="36.7265625" customWidth="1"/>
    <col min="4" max="4" width="69" customWidth="1"/>
    <col min="5" max="5" width="15.54296875" style="50" customWidth="1"/>
    <col min="6" max="6" width="18.81640625" customWidth="1"/>
    <col min="7" max="7" width="35" customWidth="1"/>
  </cols>
  <sheetData>
    <row r="1" spans="1:7" s="23" customFormat="1" ht="19.5" customHeight="1">
      <c r="A1" s="60" t="s">
        <v>0</v>
      </c>
      <c r="B1" s="60" t="s">
        <v>1</v>
      </c>
      <c r="C1" s="60" t="s">
        <v>2</v>
      </c>
      <c r="D1" s="60" t="s">
        <v>3</v>
      </c>
      <c r="E1" s="61" t="s">
        <v>4</v>
      </c>
      <c r="F1" s="60" t="s">
        <v>5</v>
      </c>
      <c r="G1" s="60" t="s">
        <v>6</v>
      </c>
    </row>
    <row r="2" spans="1:7" ht="15.5">
      <c r="A2" s="220">
        <v>45638</v>
      </c>
      <c r="B2" s="107">
        <v>45666</v>
      </c>
      <c r="C2" s="112" t="s">
        <v>7</v>
      </c>
      <c r="D2" s="113" t="s">
        <v>8</v>
      </c>
      <c r="E2" s="114">
        <v>19844000</v>
      </c>
      <c r="F2" s="108" t="s">
        <v>9</v>
      </c>
      <c r="G2" s="109" t="s">
        <v>10</v>
      </c>
    </row>
    <row r="3" spans="1:7" ht="15.5">
      <c r="A3" s="220">
        <v>45658</v>
      </c>
      <c r="B3" s="107">
        <v>45698</v>
      </c>
      <c r="C3" s="112" t="s">
        <v>11</v>
      </c>
      <c r="D3" s="108" t="s">
        <v>12</v>
      </c>
      <c r="E3" s="114">
        <v>39676449</v>
      </c>
      <c r="F3" s="108" t="s">
        <v>13</v>
      </c>
      <c r="G3" s="109" t="s">
        <v>14</v>
      </c>
    </row>
    <row r="4" spans="1:7" ht="15.5">
      <c r="A4" s="220">
        <v>45689</v>
      </c>
      <c r="B4" s="107">
        <v>45698</v>
      </c>
      <c r="C4" s="112" t="s">
        <v>15</v>
      </c>
      <c r="D4" s="108" t="s">
        <v>16</v>
      </c>
      <c r="E4" s="114">
        <v>22326000</v>
      </c>
      <c r="F4" s="108" t="s">
        <v>9</v>
      </c>
      <c r="G4" s="109" t="s">
        <v>10</v>
      </c>
    </row>
    <row r="5" spans="1:7" ht="15.5">
      <c r="A5" s="220">
        <v>45689</v>
      </c>
      <c r="B5" s="107">
        <v>45726</v>
      </c>
      <c r="C5" s="109"/>
      <c r="D5" s="108" t="s">
        <v>17</v>
      </c>
      <c r="E5" s="114">
        <v>38723166</v>
      </c>
      <c r="F5" s="108" t="s">
        <v>9</v>
      </c>
      <c r="G5" s="109" t="s">
        <v>10</v>
      </c>
    </row>
    <row r="6" spans="1:7" ht="15.5">
      <c r="A6" s="220">
        <v>45717</v>
      </c>
      <c r="B6" s="107">
        <v>45726</v>
      </c>
      <c r="C6" s="109"/>
      <c r="D6" s="108" t="s">
        <v>18</v>
      </c>
      <c r="E6" s="114">
        <v>21085000</v>
      </c>
      <c r="F6" s="108" t="s">
        <v>13</v>
      </c>
      <c r="G6" s="109" t="s">
        <v>14</v>
      </c>
    </row>
    <row r="7" spans="1:7" ht="15.5">
      <c r="A7" s="220">
        <v>45717</v>
      </c>
      <c r="B7" s="107">
        <v>45772</v>
      </c>
      <c r="C7" s="109" t="s">
        <v>19</v>
      </c>
      <c r="D7" s="108" t="s">
        <v>20</v>
      </c>
      <c r="E7" s="110">
        <v>40111000</v>
      </c>
      <c r="F7" s="108" t="s">
        <v>9</v>
      </c>
      <c r="G7" s="109" t="s">
        <v>10</v>
      </c>
    </row>
    <row r="8" spans="1:7" ht="15.5">
      <c r="A8" s="220">
        <v>45775</v>
      </c>
      <c r="B8" s="107">
        <v>45775</v>
      </c>
      <c r="C8" s="109" t="s">
        <v>19</v>
      </c>
      <c r="D8" s="108" t="s">
        <v>21</v>
      </c>
      <c r="E8" s="114">
        <v>21085000</v>
      </c>
      <c r="F8" s="108" t="s">
        <v>13</v>
      </c>
      <c r="G8" s="109" t="s">
        <v>14</v>
      </c>
    </row>
    <row r="9" spans="1:7" ht="15.5">
      <c r="A9" s="106"/>
      <c r="B9" s="107"/>
      <c r="C9" s="108"/>
      <c r="D9" s="108"/>
      <c r="E9" s="110"/>
      <c r="F9" s="108"/>
      <c r="G9" s="109"/>
    </row>
    <row r="10" spans="1:7" ht="15.5">
      <c r="A10" s="106"/>
      <c r="B10" s="107"/>
      <c r="C10" s="108"/>
      <c r="D10" s="108"/>
      <c r="E10" s="110"/>
      <c r="F10" s="108"/>
      <c r="G10" s="109"/>
    </row>
    <row r="11" spans="1:7" ht="15.5">
      <c r="A11" s="106"/>
      <c r="B11" s="107"/>
      <c r="C11" s="108"/>
      <c r="D11" s="108"/>
      <c r="E11" s="110"/>
      <c r="F11" s="108"/>
      <c r="G11" s="109"/>
    </row>
    <row r="12" spans="1:7" ht="15.5">
      <c r="A12" s="106"/>
      <c r="B12" s="107"/>
      <c r="C12" s="108"/>
      <c r="D12" s="108"/>
      <c r="E12" s="110"/>
      <c r="F12" s="108"/>
      <c r="G12" s="109"/>
    </row>
    <row r="13" spans="1:7" ht="15.5">
      <c r="A13" s="106"/>
      <c r="B13" s="107"/>
      <c r="C13" s="108"/>
      <c r="D13" s="108"/>
      <c r="E13" s="110"/>
      <c r="F13" s="108"/>
      <c r="G13" s="109"/>
    </row>
    <row r="14" spans="1:7" ht="15.5">
      <c r="A14" s="106"/>
      <c r="B14" s="107"/>
      <c r="C14" s="109"/>
      <c r="D14" s="109"/>
      <c r="E14" s="110"/>
      <c r="F14" s="108"/>
      <c r="G14" s="109"/>
    </row>
    <row r="15" spans="1:7" ht="15.5">
      <c r="A15" s="106"/>
      <c r="B15" s="107"/>
      <c r="C15" s="109"/>
      <c r="D15" s="109"/>
      <c r="E15" s="110"/>
      <c r="F15" s="108"/>
      <c r="G15" s="109"/>
    </row>
    <row r="16" spans="1:7" ht="15.5">
      <c r="A16" s="106"/>
      <c r="B16" s="107"/>
      <c r="C16" s="109"/>
      <c r="D16" s="109"/>
      <c r="E16" s="110"/>
      <c r="F16" s="108"/>
      <c r="G16" s="109"/>
    </row>
    <row r="17" spans="1:7" ht="15.5">
      <c r="A17" s="106"/>
      <c r="B17" s="107"/>
      <c r="C17" s="109"/>
      <c r="D17" s="109"/>
      <c r="E17" s="110"/>
      <c r="F17" s="108"/>
      <c r="G17" s="109"/>
    </row>
    <row r="18" spans="1:7" ht="15.5">
      <c r="A18" s="106"/>
      <c r="B18" s="107"/>
      <c r="C18" s="109"/>
      <c r="D18" s="109"/>
      <c r="E18" s="110"/>
      <c r="F18" s="108"/>
      <c r="G18" s="111"/>
    </row>
    <row r="19" spans="1:7" ht="15.5">
      <c r="A19" s="106"/>
      <c r="B19" s="107"/>
      <c r="C19" s="109"/>
      <c r="D19" s="109"/>
      <c r="E19" s="110"/>
      <c r="F19" s="108"/>
      <c r="G19" s="111"/>
    </row>
    <row r="20" spans="1:7" ht="15.5">
      <c r="A20" s="106"/>
      <c r="B20" s="107"/>
      <c r="C20" s="109"/>
      <c r="D20" s="109"/>
      <c r="E20" s="110"/>
      <c r="F20" s="108"/>
      <c r="G20" s="111"/>
    </row>
    <row r="21" spans="1:7" ht="15.5">
      <c r="A21" s="106"/>
      <c r="B21" s="107"/>
      <c r="C21" s="109"/>
      <c r="D21" s="109"/>
      <c r="E21" s="110"/>
      <c r="F21" s="108"/>
      <c r="G21" s="111"/>
    </row>
    <row r="22" spans="1:7" ht="15.5">
      <c r="A22" s="106"/>
      <c r="B22" s="107"/>
      <c r="C22" s="109"/>
      <c r="D22" s="109"/>
      <c r="E22" s="110"/>
      <c r="F22" s="108"/>
      <c r="G22" s="111"/>
    </row>
    <row r="23" spans="1:7" ht="15.5">
      <c r="A23" s="106"/>
      <c r="B23" s="107"/>
      <c r="C23" s="109"/>
      <c r="D23" s="109"/>
      <c r="E23" s="110"/>
      <c r="F23" s="108"/>
      <c r="G23" s="111"/>
    </row>
    <row r="24" spans="1:7" ht="15.5">
      <c r="A24" s="106"/>
      <c r="B24" s="107"/>
      <c r="C24" s="109"/>
      <c r="D24" s="109"/>
      <c r="E24" s="110"/>
      <c r="F24" s="108"/>
      <c r="G24" s="111"/>
    </row>
    <row r="25" spans="1:7" ht="15.5">
      <c r="A25" s="106"/>
      <c r="B25" s="107"/>
      <c r="C25" s="109"/>
      <c r="D25" s="109"/>
      <c r="E25" s="110"/>
      <c r="F25" s="108"/>
      <c r="G25" s="111"/>
    </row>
    <row r="26" spans="1:7" ht="15.5">
      <c r="A26" s="106"/>
      <c r="B26" s="107"/>
      <c r="C26" s="109"/>
      <c r="D26" s="109"/>
      <c r="E26" s="110"/>
      <c r="F26" s="108"/>
      <c r="G26" s="111"/>
    </row>
    <row r="27" spans="1:7" ht="15.5">
      <c r="A27" s="106"/>
      <c r="B27" s="107"/>
      <c r="C27" s="109"/>
      <c r="D27" s="109"/>
      <c r="E27" s="110"/>
      <c r="F27" s="108"/>
      <c r="G27" s="111"/>
    </row>
    <row r="28" spans="1:7" ht="14.5">
      <c r="A28" s="62"/>
      <c r="B28" s="63"/>
      <c r="C28" s="64"/>
      <c r="D28" s="64"/>
      <c r="E28" s="65"/>
      <c r="F28" s="66"/>
      <c r="G28" s="67"/>
    </row>
    <row r="29" spans="1:7" ht="14.5">
      <c r="A29" s="62"/>
      <c r="B29" s="63"/>
      <c r="C29" s="64"/>
      <c r="D29" s="64"/>
      <c r="E29" s="65"/>
      <c r="F29" s="66"/>
      <c r="G29" s="67"/>
    </row>
    <row r="30" spans="1:7" ht="14.5">
      <c r="A30" s="62"/>
      <c r="B30" s="63"/>
      <c r="C30" s="64"/>
      <c r="D30" s="64"/>
      <c r="E30" s="65"/>
      <c r="F30" s="66"/>
      <c r="G30" s="67"/>
    </row>
    <row r="31" spans="1:7" ht="14.5">
      <c r="A31" s="62"/>
      <c r="B31" s="63"/>
      <c r="C31" s="64"/>
      <c r="D31" s="64"/>
      <c r="E31" s="65"/>
      <c r="F31" s="66"/>
      <c r="G31" s="67"/>
    </row>
    <row r="32" spans="1:7" ht="14.5">
      <c r="A32" s="62"/>
      <c r="B32" s="63"/>
      <c r="C32" s="64"/>
      <c r="D32" s="64"/>
      <c r="E32" s="65"/>
      <c r="F32" s="66"/>
      <c r="G32" s="67"/>
    </row>
    <row r="33" spans="1:7" ht="14.5">
      <c r="A33" s="62"/>
      <c r="B33" s="63"/>
      <c r="C33" s="64"/>
      <c r="D33" s="64"/>
      <c r="E33" s="65"/>
      <c r="F33" s="66"/>
      <c r="G33" s="67"/>
    </row>
    <row r="34" spans="1:7" ht="14.5">
      <c r="A34" s="62"/>
      <c r="B34" s="63"/>
      <c r="C34" s="64"/>
      <c r="D34" s="64"/>
      <c r="E34" s="65"/>
      <c r="F34" s="66"/>
      <c r="G34" s="67"/>
    </row>
    <row r="35" spans="1:7" ht="14.5">
      <c r="A35" s="62"/>
      <c r="B35" s="63"/>
      <c r="C35" s="64"/>
      <c r="D35" s="64"/>
      <c r="E35" s="65"/>
      <c r="F35" s="66"/>
      <c r="G35" s="67"/>
    </row>
    <row r="36" spans="1:7" ht="14.5">
      <c r="A36" s="62"/>
      <c r="B36" s="63"/>
      <c r="C36" s="64"/>
      <c r="D36" s="64"/>
      <c r="E36" s="65"/>
      <c r="F36" s="66"/>
      <c r="G36" s="67"/>
    </row>
    <row r="37" spans="1:7" ht="14.5">
      <c r="A37" s="62"/>
      <c r="B37" s="63"/>
      <c r="C37" s="64"/>
      <c r="D37" s="64"/>
      <c r="E37" s="65"/>
      <c r="F37" s="66"/>
      <c r="G37" s="67"/>
    </row>
    <row r="38" spans="1:7" ht="14.5">
      <c r="A38" s="62"/>
      <c r="B38" s="63"/>
      <c r="C38" s="64"/>
      <c r="D38" s="64"/>
      <c r="E38" s="65"/>
      <c r="F38" s="66"/>
      <c r="G38" s="67"/>
    </row>
    <row r="39" spans="1:7" ht="14.5">
      <c r="A39" s="62"/>
      <c r="B39" s="63"/>
      <c r="C39" s="64"/>
      <c r="D39" s="64"/>
      <c r="E39" s="65"/>
      <c r="F39" s="66"/>
      <c r="G39" s="67"/>
    </row>
    <row r="40" spans="1:7" ht="14.5">
      <c r="A40" s="62"/>
      <c r="B40" s="63"/>
      <c r="C40" s="64"/>
      <c r="D40" s="64"/>
      <c r="E40" s="65"/>
      <c r="F40" s="66"/>
      <c r="G40" s="67"/>
    </row>
    <row r="41" spans="1:7" ht="14.5">
      <c r="A41" s="62"/>
      <c r="B41" s="63"/>
      <c r="C41" s="64"/>
      <c r="D41" s="64"/>
      <c r="E41" s="65"/>
      <c r="F41" s="66"/>
      <c r="G41" s="67"/>
    </row>
    <row r="42" spans="1:7" ht="14.5">
      <c r="A42" s="62"/>
      <c r="B42" s="63"/>
      <c r="C42" s="64"/>
      <c r="D42" s="64"/>
      <c r="E42" s="65"/>
      <c r="F42" s="66"/>
      <c r="G42" s="67"/>
    </row>
    <row r="43" spans="1:7" ht="14.5">
      <c r="A43" s="62"/>
      <c r="B43" s="63"/>
      <c r="C43" s="64"/>
      <c r="D43" s="64"/>
      <c r="E43" s="65"/>
      <c r="F43" s="66"/>
      <c r="G43" s="67"/>
    </row>
    <row r="44" spans="1:7" ht="14.5">
      <c r="A44" s="62"/>
      <c r="B44" s="63"/>
      <c r="C44" s="64"/>
      <c r="D44" s="64"/>
      <c r="E44" s="65"/>
      <c r="F44" s="66"/>
      <c r="G44" s="67"/>
    </row>
    <row r="45" spans="1:7" ht="14.5">
      <c r="A45" s="62"/>
      <c r="B45" s="63"/>
      <c r="C45" s="64"/>
      <c r="D45" s="64"/>
      <c r="E45" s="65"/>
      <c r="F45" s="66"/>
      <c r="G45" s="67"/>
    </row>
    <row r="46" spans="1:7" ht="14.5">
      <c r="A46" s="62"/>
      <c r="B46" s="63"/>
      <c r="C46" s="64"/>
      <c r="D46" s="64"/>
      <c r="E46" s="65"/>
      <c r="F46" s="66"/>
      <c r="G46" s="67"/>
    </row>
    <row r="47" spans="1:7" ht="14.5">
      <c r="A47" s="62"/>
      <c r="B47" s="63"/>
      <c r="C47" s="64"/>
      <c r="D47" s="64"/>
      <c r="E47" s="65"/>
      <c r="F47" s="66"/>
      <c r="G47" s="67"/>
    </row>
    <row r="48" spans="1:7" ht="14.5">
      <c r="A48" s="62"/>
      <c r="B48" s="63"/>
      <c r="C48" s="64"/>
      <c r="D48" s="64"/>
      <c r="E48" s="65"/>
      <c r="F48" s="66"/>
      <c r="G48" s="67"/>
    </row>
    <row r="49" spans="1:7" ht="14.5">
      <c r="A49" s="62"/>
      <c r="B49" s="63"/>
      <c r="C49" s="64"/>
      <c r="D49" s="68"/>
      <c r="E49" s="65"/>
      <c r="F49" s="66"/>
      <c r="G49" s="67"/>
    </row>
    <row r="50" spans="1:7" ht="14.5">
      <c r="A50" s="62"/>
      <c r="B50" s="63"/>
      <c r="C50" s="64"/>
      <c r="D50" s="64"/>
      <c r="E50" s="65"/>
      <c r="F50" s="66"/>
      <c r="G50" s="67"/>
    </row>
    <row r="51" spans="1:7" ht="14.5">
      <c r="A51" s="62"/>
      <c r="B51" s="63"/>
      <c r="C51" s="64"/>
      <c r="D51" s="64"/>
      <c r="E51" s="65"/>
      <c r="F51" s="66"/>
      <c r="G51" s="67"/>
    </row>
    <row r="52" spans="1:7" ht="14.5">
      <c r="A52" s="62"/>
      <c r="B52" s="63"/>
      <c r="C52" s="64"/>
      <c r="D52" s="64"/>
      <c r="E52" s="65"/>
      <c r="F52" s="66"/>
      <c r="G52" s="67"/>
    </row>
    <row r="53" spans="1:7" ht="14.5">
      <c r="A53" s="62"/>
      <c r="B53" s="63"/>
      <c r="C53" s="64"/>
      <c r="D53" s="64"/>
      <c r="E53" s="65"/>
      <c r="F53" s="66"/>
      <c r="G53" s="67"/>
    </row>
    <row r="54" spans="1:7" ht="14.5">
      <c r="A54" s="62"/>
      <c r="B54" s="63"/>
      <c r="C54" s="64"/>
      <c r="D54" s="64"/>
      <c r="E54" s="65"/>
      <c r="F54" s="66"/>
      <c r="G54" s="67"/>
    </row>
    <row r="55" spans="1:7" ht="14.5">
      <c r="A55" s="62"/>
      <c r="B55" s="63"/>
      <c r="C55" s="64"/>
      <c r="D55" s="64"/>
      <c r="E55" s="65"/>
      <c r="F55" s="66"/>
      <c r="G55" s="67"/>
    </row>
    <row r="56" spans="1:7" ht="14.5">
      <c r="A56" s="62"/>
      <c r="B56" s="63"/>
      <c r="C56" s="64"/>
      <c r="D56" s="64"/>
      <c r="E56" s="65"/>
      <c r="F56" s="66"/>
      <c r="G56" s="67"/>
    </row>
    <row r="57" spans="1:7" ht="14.5">
      <c r="A57" s="62"/>
      <c r="B57" s="63"/>
      <c r="C57" s="64"/>
      <c r="D57" s="64"/>
      <c r="E57" s="65"/>
      <c r="F57" s="66"/>
      <c r="G57" s="67"/>
    </row>
    <row r="58" spans="1:7" ht="14.5">
      <c r="A58" s="62"/>
      <c r="B58" s="63"/>
      <c r="C58" s="64"/>
      <c r="D58" s="64"/>
      <c r="E58" s="65"/>
      <c r="F58" s="66"/>
      <c r="G58" s="67"/>
    </row>
    <row r="59" spans="1:7" ht="14.5">
      <c r="A59" s="62"/>
      <c r="B59" s="63"/>
      <c r="C59" s="64"/>
      <c r="D59" s="64"/>
      <c r="E59" s="65"/>
      <c r="F59" s="66"/>
      <c r="G59" s="67"/>
    </row>
    <row r="60" spans="1:7" ht="14.5">
      <c r="A60" s="62"/>
      <c r="B60" s="63"/>
      <c r="C60" s="64"/>
      <c r="D60" s="64"/>
      <c r="E60" s="65"/>
      <c r="F60" s="66"/>
      <c r="G60" s="67"/>
    </row>
    <row r="61" spans="1:7" ht="14.5">
      <c r="A61" s="62"/>
      <c r="B61" s="63"/>
      <c r="C61" s="64"/>
      <c r="D61" s="64"/>
      <c r="E61" s="65"/>
      <c r="F61" s="66"/>
      <c r="G61" s="67"/>
    </row>
    <row r="62" spans="1:7" ht="14.5">
      <c r="A62" s="62"/>
      <c r="B62" s="63"/>
      <c r="C62" s="64"/>
      <c r="D62" s="64"/>
      <c r="E62" s="65"/>
      <c r="F62" s="66"/>
      <c r="G62" s="67"/>
    </row>
    <row r="63" spans="1:7" ht="14.5">
      <c r="A63" s="62"/>
      <c r="B63" s="63"/>
      <c r="C63" s="64"/>
      <c r="D63" s="64"/>
      <c r="E63" s="65"/>
      <c r="F63" s="66"/>
      <c r="G63" s="67"/>
    </row>
    <row r="64" spans="1:7" ht="14.5">
      <c r="A64" s="62"/>
      <c r="B64" s="63"/>
      <c r="C64" s="64"/>
      <c r="D64" s="64"/>
      <c r="E64" s="65"/>
      <c r="F64" s="66"/>
      <c r="G64" s="67"/>
    </row>
    <row r="65" spans="1:7" ht="14.5">
      <c r="A65" s="62"/>
      <c r="B65" s="63"/>
      <c r="C65" s="64"/>
      <c r="D65" s="64"/>
      <c r="E65" s="65"/>
      <c r="F65" s="66"/>
      <c r="G65" s="67"/>
    </row>
    <row r="66" spans="1:7" ht="14.5">
      <c r="A66" s="62"/>
      <c r="B66" s="63"/>
      <c r="C66" s="64"/>
      <c r="D66" s="64"/>
      <c r="E66" s="65"/>
      <c r="F66" s="66"/>
      <c r="G66" s="67"/>
    </row>
    <row r="67" spans="1:7" ht="14.5">
      <c r="A67" s="62"/>
      <c r="B67" s="63"/>
      <c r="C67" s="64"/>
      <c r="D67" s="64"/>
      <c r="E67" s="65"/>
      <c r="F67" s="66"/>
      <c r="G67" s="67"/>
    </row>
    <row r="68" spans="1:7" ht="14.5">
      <c r="A68" s="62"/>
      <c r="B68" s="63"/>
      <c r="C68" s="64"/>
      <c r="D68" s="64"/>
      <c r="E68" s="65"/>
      <c r="F68" s="66"/>
      <c r="G68" s="67"/>
    </row>
    <row r="69" spans="1:7" ht="14.5">
      <c r="A69" s="62"/>
      <c r="B69" s="63"/>
      <c r="C69" s="64"/>
      <c r="D69" s="64"/>
      <c r="E69" s="65"/>
      <c r="F69" s="66"/>
      <c r="G69" s="67"/>
    </row>
    <row r="70" spans="1:7" ht="14.5">
      <c r="A70" s="62"/>
      <c r="B70" s="63"/>
      <c r="C70" s="64"/>
      <c r="D70" s="64"/>
      <c r="E70" s="65"/>
      <c r="F70" s="66"/>
      <c r="G70" s="67"/>
    </row>
    <row r="71" spans="1:7" ht="14.5">
      <c r="A71" s="62"/>
      <c r="B71" s="63"/>
      <c r="C71" s="64"/>
      <c r="D71" s="64"/>
      <c r="E71" s="65"/>
      <c r="F71" s="66"/>
      <c r="G71" s="67"/>
    </row>
    <row r="72" spans="1:7" ht="14.5">
      <c r="A72" s="62"/>
      <c r="B72" s="63"/>
      <c r="C72" s="64"/>
      <c r="D72" s="64"/>
      <c r="E72" s="65"/>
      <c r="F72" s="66"/>
      <c r="G72" s="67"/>
    </row>
    <row r="73" spans="1:7" ht="14.5">
      <c r="A73" s="62"/>
      <c r="B73" s="63"/>
      <c r="C73" s="64"/>
      <c r="D73" s="64"/>
      <c r="E73" s="65"/>
      <c r="F73" s="66"/>
      <c r="G73" s="67"/>
    </row>
    <row r="74" spans="1:7" ht="14.5">
      <c r="A74" s="62"/>
      <c r="B74" s="63"/>
      <c r="C74" s="64"/>
      <c r="D74" s="64"/>
      <c r="E74" s="65"/>
      <c r="F74" s="66"/>
      <c r="G74" s="67"/>
    </row>
    <row r="75" spans="1:7" ht="14.5">
      <c r="A75" s="62"/>
      <c r="B75" s="63"/>
      <c r="C75" s="64"/>
      <c r="D75" s="64"/>
      <c r="E75" s="65"/>
      <c r="F75" s="66"/>
      <c r="G75" s="67"/>
    </row>
    <row r="76" spans="1:7" ht="14.5">
      <c r="A76" s="62"/>
      <c r="B76" s="63"/>
      <c r="C76" s="64"/>
      <c r="D76" s="64"/>
      <c r="E76" s="65"/>
      <c r="F76" s="66"/>
      <c r="G76" s="67"/>
    </row>
    <row r="77" spans="1:7" ht="14.5">
      <c r="A77" s="62"/>
      <c r="B77" s="63"/>
      <c r="C77" s="64"/>
      <c r="D77" s="64"/>
      <c r="E77" s="65"/>
      <c r="F77" s="66"/>
      <c r="G77" s="67"/>
    </row>
    <row r="78" spans="1:7" ht="14.5">
      <c r="A78" s="62"/>
      <c r="B78" s="63"/>
      <c r="C78" s="64"/>
      <c r="D78" s="64"/>
      <c r="E78" s="65"/>
      <c r="F78" s="66"/>
      <c r="G78" s="67"/>
    </row>
    <row r="79" spans="1:7" ht="14.5">
      <c r="A79" s="62"/>
      <c r="B79" s="63"/>
      <c r="C79" s="64"/>
      <c r="D79" s="64"/>
      <c r="E79" s="65"/>
      <c r="F79" s="66"/>
      <c r="G79" s="67"/>
    </row>
    <row r="80" spans="1:7" ht="14.5">
      <c r="A80" s="62"/>
      <c r="B80" s="63"/>
      <c r="C80" s="64"/>
      <c r="D80" s="64"/>
      <c r="E80" s="65"/>
      <c r="F80" s="66"/>
      <c r="G80" s="67"/>
    </row>
    <row r="81" spans="1:7" ht="14.5">
      <c r="A81" s="62"/>
      <c r="B81" s="63"/>
      <c r="C81" s="64"/>
      <c r="D81" s="64"/>
      <c r="E81" s="65"/>
      <c r="F81" s="66"/>
      <c r="G81" s="67"/>
    </row>
    <row r="82" spans="1:7" ht="14.5">
      <c r="A82" s="62"/>
      <c r="B82" s="63"/>
      <c r="C82" s="64"/>
      <c r="D82" s="64"/>
      <c r="E82" s="65"/>
      <c r="F82" s="66"/>
      <c r="G82" s="67"/>
    </row>
    <row r="83" spans="1:7" ht="14.5">
      <c r="A83" s="62"/>
      <c r="B83" s="63"/>
      <c r="C83" s="64"/>
      <c r="D83" s="64"/>
      <c r="E83" s="65"/>
      <c r="F83" s="66"/>
      <c r="G83" s="67"/>
    </row>
    <row r="84" spans="1:7" ht="14.5">
      <c r="A84" s="62"/>
      <c r="B84" s="63"/>
      <c r="C84" s="64"/>
      <c r="D84" s="64"/>
      <c r="E84" s="65"/>
      <c r="F84" s="66"/>
      <c r="G84" s="67"/>
    </row>
    <row r="85" spans="1:7" ht="14.5">
      <c r="A85" s="62"/>
      <c r="B85" s="63"/>
      <c r="C85" s="64"/>
      <c r="D85" s="64"/>
      <c r="E85" s="65"/>
      <c r="F85" s="66"/>
      <c r="G85" s="67"/>
    </row>
    <row r="86" spans="1:7" ht="14.5">
      <c r="A86" s="62"/>
      <c r="B86" s="63"/>
      <c r="C86" s="64"/>
      <c r="D86" s="64"/>
      <c r="E86" s="65"/>
      <c r="F86" s="66"/>
      <c r="G86" s="67"/>
    </row>
    <row r="87" spans="1:7" ht="14.5">
      <c r="A87" s="62"/>
      <c r="B87" s="63"/>
      <c r="C87" s="64"/>
      <c r="D87" s="64"/>
      <c r="E87" s="65"/>
      <c r="F87" s="66"/>
      <c r="G87" s="67"/>
    </row>
    <row r="88" spans="1:7" ht="14.5">
      <c r="A88" s="62"/>
      <c r="B88" s="63"/>
      <c r="C88" s="64"/>
      <c r="D88" s="64"/>
      <c r="E88" s="65"/>
      <c r="F88" s="66"/>
      <c r="G88" s="67"/>
    </row>
    <row r="89" spans="1:7" ht="14.5">
      <c r="A89" s="62"/>
      <c r="B89" s="63"/>
      <c r="C89" s="64"/>
      <c r="D89" s="64"/>
      <c r="E89" s="65"/>
      <c r="F89" s="66"/>
      <c r="G89" s="67"/>
    </row>
    <row r="90" spans="1:7" ht="14.5">
      <c r="A90" s="62"/>
      <c r="B90" s="63"/>
      <c r="C90" s="64"/>
      <c r="D90" s="64"/>
      <c r="E90" s="65"/>
      <c r="F90" s="66"/>
      <c r="G90" s="67"/>
    </row>
    <row r="91" spans="1:7" ht="14.5">
      <c r="A91" s="62"/>
      <c r="B91" s="63"/>
      <c r="C91" s="64"/>
      <c r="D91" s="64"/>
      <c r="E91" s="65"/>
      <c r="F91" s="66"/>
      <c r="G91" s="67"/>
    </row>
    <row r="92" spans="1:7" ht="14.5">
      <c r="A92" s="62"/>
      <c r="B92" s="63"/>
      <c r="C92" s="64"/>
      <c r="D92" s="64"/>
      <c r="E92" s="65"/>
      <c r="F92" s="66"/>
      <c r="G92" s="67"/>
    </row>
    <row r="93" spans="1:7" ht="14.5">
      <c r="A93" s="62"/>
      <c r="B93" s="63"/>
      <c r="C93" s="64"/>
      <c r="D93" s="64"/>
      <c r="E93" s="65"/>
      <c r="F93" s="66"/>
      <c r="G93" s="67"/>
    </row>
    <row r="94" spans="1:7" ht="14.5">
      <c r="A94" s="62"/>
      <c r="B94" s="63"/>
      <c r="C94" s="64"/>
      <c r="D94" s="64"/>
      <c r="E94" s="65"/>
      <c r="F94" s="66"/>
      <c r="G94" s="67"/>
    </row>
    <row r="95" spans="1:7" ht="14.5">
      <c r="A95" s="62"/>
      <c r="B95" s="63"/>
      <c r="C95" s="64"/>
      <c r="D95" s="64"/>
      <c r="E95" s="65"/>
      <c r="F95" s="66"/>
      <c r="G95" s="67"/>
    </row>
    <row r="96" spans="1:7" ht="14.5">
      <c r="A96" s="62"/>
      <c r="B96" s="63"/>
      <c r="C96" s="64"/>
      <c r="D96" s="64"/>
      <c r="E96" s="65"/>
      <c r="F96" s="66"/>
      <c r="G96" s="67"/>
    </row>
    <row r="97" spans="1:7" ht="14.5">
      <c r="A97" s="62"/>
      <c r="B97" s="63"/>
      <c r="C97" s="64"/>
      <c r="D97" s="64"/>
      <c r="E97" s="65"/>
      <c r="F97" s="66"/>
      <c r="G97" s="67"/>
    </row>
    <row r="98" spans="1:7" ht="14.5">
      <c r="A98" s="62"/>
      <c r="B98" s="63"/>
      <c r="C98" s="64"/>
      <c r="D98" s="64"/>
      <c r="E98" s="65"/>
      <c r="F98" s="66"/>
      <c r="G98" s="67"/>
    </row>
    <row r="99" spans="1:7" ht="14.5">
      <c r="A99" s="62"/>
      <c r="B99" s="63"/>
      <c r="C99" s="64"/>
      <c r="D99" s="64"/>
      <c r="E99" s="65"/>
      <c r="F99" s="66"/>
      <c r="G99" s="67"/>
    </row>
    <row r="100" spans="1:7" ht="14.5">
      <c r="A100" s="62"/>
      <c r="B100" s="63"/>
      <c r="C100" s="64"/>
      <c r="D100" s="64"/>
      <c r="E100" s="65"/>
      <c r="F100" s="66"/>
      <c r="G100" s="67"/>
    </row>
    <row r="101" spans="1:7" ht="14.5">
      <c r="A101" s="62"/>
      <c r="B101" s="63"/>
      <c r="C101" s="64"/>
      <c r="D101" s="64"/>
      <c r="E101" s="65"/>
      <c r="F101" s="66"/>
      <c r="G101" s="67"/>
    </row>
    <row r="102" spans="1:7" ht="14.5">
      <c r="A102" s="62"/>
      <c r="B102" s="63"/>
      <c r="C102" s="64"/>
      <c r="D102" s="64"/>
      <c r="E102" s="65"/>
      <c r="F102" s="66"/>
      <c r="G102" s="67"/>
    </row>
    <row r="103" spans="1:7" ht="14.5">
      <c r="A103" s="62"/>
      <c r="B103" s="63"/>
      <c r="C103" s="64"/>
      <c r="D103" s="64"/>
      <c r="E103" s="65"/>
      <c r="F103" s="66"/>
      <c r="G103" s="67"/>
    </row>
    <row r="104" spans="1:7" ht="14.5">
      <c r="A104" s="62"/>
      <c r="B104" s="63"/>
      <c r="C104" s="64"/>
      <c r="D104" s="64"/>
      <c r="E104" s="65"/>
      <c r="F104" s="66"/>
      <c r="G104" s="67"/>
    </row>
    <row r="105" spans="1:7" ht="14.5">
      <c r="A105" s="62"/>
      <c r="B105" s="63"/>
      <c r="C105" s="64"/>
      <c r="D105" s="64"/>
      <c r="E105" s="65"/>
      <c r="F105" s="66"/>
      <c r="G105" s="67"/>
    </row>
    <row r="106" spans="1:7" ht="14.5">
      <c r="A106" s="62"/>
      <c r="B106" s="63"/>
      <c r="C106" s="64"/>
      <c r="D106" s="64"/>
      <c r="E106" s="65"/>
      <c r="F106" s="66"/>
      <c r="G106" s="67"/>
    </row>
    <row r="107" spans="1:7" ht="14.5">
      <c r="A107" s="62"/>
      <c r="B107" s="63"/>
      <c r="C107" s="64"/>
      <c r="D107" s="64"/>
      <c r="E107" s="65"/>
      <c r="F107" s="66"/>
      <c r="G107" s="67"/>
    </row>
    <row r="108" spans="1:7" ht="14.5">
      <c r="A108" s="62"/>
      <c r="B108" s="63"/>
      <c r="C108" s="64"/>
      <c r="D108" s="64"/>
      <c r="E108" s="65"/>
      <c r="F108" s="66"/>
      <c r="G108" s="67"/>
    </row>
    <row r="109" spans="1:7" ht="14.5">
      <c r="A109" s="62"/>
      <c r="B109" s="63"/>
      <c r="C109" s="64"/>
      <c r="D109" s="64"/>
      <c r="E109" s="65"/>
      <c r="F109" s="66"/>
      <c r="G109" s="67"/>
    </row>
    <row r="110" spans="1:7" ht="14.5">
      <c r="A110" s="62"/>
      <c r="B110" s="63"/>
      <c r="C110" s="64"/>
      <c r="D110" s="64"/>
      <c r="E110" s="65"/>
      <c r="F110" s="66"/>
      <c r="G110" s="67"/>
    </row>
    <row r="111" spans="1:7" ht="14.5">
      <c r="A111" s="62"/>
      <c r="B111" s="63"/>
      <c r="C111" s="64"/>
      <c r="D111" s="64"/>
      <c r="E111" s="65"/>
      <c r="F111" s="66"/>
      <c r="G111" s="67"/>
    </row>
    <row r="112" spans="1:7" ht="14.5">
      <c r="A112" s="62"/>
      <c r="B112" s="63"/>
      <c r="C112" s="64"/>
      <c r="D112" s="64"/>
      <c r="E112" s="65"/>
      <c r="F112" s="66"/>
      <c r="G112" s="67"/>
    </row>
    <row r="113" spans="1:7" ht="14.5">
      <c r="A113" s="62"/>
      <c r="B113" s="63"/>
      <c r="C113" s="64"/>
      <c r="D113" s="64"/>
      <c r="E113" s="65"/>
      <c r="F113" s="66"/>
      <c r="G113" s="67"/>
    </row>
    <row r="114" spans="1:7" ht="14.5">
      <c r="A114" s="62"/>
      <c r="B114" s="63"/>
      <c r="C114" s="64"/>
      <c r="D114" s="64"/>
      <c r="E114" s="65"/>
      <c r="F114" s="66"/>
      <c r="G114" s="67"/>
    </row>
    <row r="115" spans="1:7" ht="14.5">
      <c r="A115" s="62"/>
      <c r="B115" s="63"/>
      <c r="C115" s="64"/>
      <c r="D115" s="64"/>
      <c r="E115" s="65"/>
      <c r="F115" s="66"/>
      <c r="G115" s="67"/>
    </row>
    <row r="116" spans="1:7" ht="14.5">
      <c r="A116" s="62"/>
      <c r="B116" s="63"/>
      <c r="C116" s="64"/>
      <c r="D116" s="64"/>
      <c r="E116" s="65"/>
      <c r="F116" s="66"/>
      <c r="G116" s="67"/>
    </row>
    <row r="117" spans="1:7" ht="14.5">
      <c r="A117" s="62"/>
      <c r="B117" s="63"/>
      <c r="C117" s="64"/>
      <c r="D117" s="64"/>
      <c r="E117" s="65"/>
      <c r="F117" s="66"/>
      <c r="G117" s="67"/>
    </row>
    <row r="118" spans="1:7" ht="14.5">
      <c r="A118" s="62"/>
      <c r="B118" s="63"/>
      <c r="C118" s="64"/>
      <c r="D118" s="64"/>
      <c r="E118" s="65"/>
      <c r="F118" s="66"/>
      <c r="G118" s="67"/>
    </row>
    <row r="119" spans="1:7" ht="14.5">
      <c r="A119" s="62"/>
      <c r="B119" s="63"/>
      <c r="C119" s="64"/>
      <c r="D119" s="64"/>
      <c r="E119" s="65"/>
      <c r="F119" s="66"/>
      <c r="G119" s="67"/>
    </row>
    <row r="120" spans="1:7" ht="14.5">
      <c r="A120" s="62"/>
      <c r="B120" s="63"/>
      <c r="C120" s="64"/>
      <c r="D120" s="64"/>
      <c r="E120" s="65"/>
      <c r="F120" s="66"/>
      <c r="G120" s="67"/>
    </row>
    <row r="121" spans="1:7" ht="14.5">
      <c r="A121" s="62"/>
      <c r="B121" s="63"/>
      <c r="C121" s="64"/>
      <c r="D121" s="64"/>
      <c r="E121" s="65"/>
      <c r="F121" s="66"/>
      <c r="G121" s="67"/>
    </row>
    <row r="122" spans="1:7" ht="14.5">
      <c r="A122" s="62"/>
      <c r="B122" s="63"/>
      <c r="C122" s="64"/>
      <c r="D122" s="64"/>
      <c r="E122" s="65"/>
      <c r="F122" s="66"/>
      <c r="G122" s="67"/>
    </row>
    <row r="123" spans="1:7" ht="14.5">
      <c r="A123" s="62"/>
      <c r="B123" s="63"/>
      <c r="C123" s="64"/>
      <c r="D123" s="64"/>
      <c r="E123" s="65"/>
      <c r="F123" s="66"/>
      <c r="G123" s="67"/>
    </row>
    <row r="124" spans="1:7" ht="14.5">
      <c r="A124" s="62"/>
      <c r="B124" s="63"/>
      <c r="C124" s="64"/>
      <c r="D124" s="64"/>
      <c r="E124" s="65"/>
      <c r="F124" s="66"/>
      <c r="G124" s="67"/>
    </row>
    <row r="125" spans="1:7" ht="14.5">
      <c r="A125" s="62"/>
      <c r="B125" s="63"/>
      <c r="C125" s="64"/>
      <c r="D125" s="64"/>
      <c r="E125" s="65"/>
      <c r="F125" s="66"/>
      <c r="G125" s="67"/>
    </row>
    <row r="126" spans="1:7" ht="14.5">
      <c r="A126" s="62"/>
      <c r="B126" s="63"/>
      <c r="C126" s="64"/>
      <c r="D126" s="64"/>
      <c r="E126" s="65"/>
      <c r="F126" s="66"/>
      <c r="G126" s="67"/>
    </row>
    <row r="127" spans="1:7" ht="14.5">
      <c r="A127" s="62"/>
      <c r="B127" s="63"/>
      <c r="C127" s="64"/>
      <c r="D127" s="64"/>
      <c r="E127" s="65"/>
      <c r="F127" s="66"/>
      <c r="G127" s="67"/>
    </row>
    <row r="128" spans="1:7" ht="14.5">
      <c r="A128" s="62"/>
      <c r="B128" s="63"/>
      <c r="C128" s="64"/>
      <c r="D128" s="64"/>
      <c r="E128" s="65"/>
      <c r="F128" s="66"/>
      <c r="G128" s="67"/>
    </row>
    <row r="129" spans="1:7" ht="14.5">
      <c r="A129" s="62"/>
      <c r="B129" s="63"/>
      <c r="C129" s="64"/>
      <c r="D129" s="64"/>
      <c r="E129" s="65"/>
      <c r="F129" s="66"/>
      <c r="G129" s="67"/>
    </row>
    <row r="130" spans="1:7" ht="14.5">
      <c r="A130" s="62"/>
      <c r="B130" s="63"/>
      <c r="C130" s="64"/>
      <c r="D130" s="64"/>
      <c r="E130" s="65"/>
      <c r="F130" s="66"/>
      <c r="G130" s="67"/>
    </row>
    <row r="131" spans="1:7" ht="14.5">
      <c r="A131" s="62"/>
      <c r="B131" s="63"/>
      <c r="C131" s="64"/>
      <c r="D131" s="64"/>
      <c r="E131" s="65"/>
      <c r="F131" s="66"/>
      <c r="G131" s="67"/>
    </row>
    <row r="132" spans="1:7" ht="14.5">
      <c r="A132" s="62"/>
      <c r="B132" s="63"/>
      <c r="C132" s="64"/>
      <c r="D132" s="64"/>
      <c r="E132" s="65"/>
      <c r="F132" s="66"/>
      <c r="G132" s="67"/>
    </row>
    <row r="133" spans="1:7" ht="14.5">
      <c r="A133" s="62"/>
      <c r="B133" s="63"/>
      <c r="C133" s="64"/>
      <c r="D133" s="64"/>
      <c r="E133" s="65"/>
      <c r="F133" s="66"/>
      <c r="G133" s="67"/>
    </row>
    <row r="134" spans="1:7" ht="14.5">
      <c r="A134" s="62"/>
      <c r="B134" s="63"/>
      <c r="C134" s="64"/>
      <c r="D134" s="64"/>
      <c r="E134" s="65"/>
      <c r="F134" s="66"/>
      <c r="G134" s="67"/>
    </row>
    <row r="135" spans="1:7" ht="14.5">
      <c r="A135" s="62"/>
      <c r="B135" s="63"/>
      <c r="C135" s="64"/>
      <c r="D135" s="64"/>
      <c r="E135" s="65"/>
      <c r="F135" s="66"/>
      <c r="G135" s="67"/>
    </row>
    <row r="136" spans="1:7" ht="14.5">
      <c r="A136" s="62"/>
      <c r="B136" s="63"/>
      <c r="C136" s="64"/>
      <c r="D136" s="64"/>
      <c r="E136" s="65"/>
      <c r="F136" s="66"/>
      <c r="G136" s="67"/>
    </row>
    <row r="137" spans="1:7" ht="14.5">
      <c r="A137" s="62"/>
      <c r="B137" s="63"/>
      <c r="C137" s="64"/>
      <c r="D137" s="64"/>
      <c r="E137" s="65"/>
      <c r="F137" s="66"/>
      <c r="G137" s="67"/>
    </row>
    <row r="138" spans="1:7" ht="14.5">
      <c r="A138" s="62"/>
      <c r="B138" s="63"/>
      <c r="C138" s="64"/>
      <c r="D138" s="64"/>
      <c r="E138" s="65"/>
      <c r="F138" s="66"/>
      <c r="G138" s="67"/>
    </row>
    <row r="139" spans="1:7" ht="14.5">
      <c r="A139" s="62"/>
      <c r="B139" s="63"/>
      <c r="C139" s="64"/>
      <c r="D139" s="64"/>
      <c r="E139" s="65"/>
      <c r="F139" s="66"/>
      <c r="G139" s="67"/>
    </row>
    <row r="140" spans="1:7" ht="14.5">
      <c r="A140" s="62"/>
      <c r="B140" s="63"/>
      <c r="C140" s="64"/>
      <c r="D140" s="64"/>
      <c r="E140" s="65"/>
      <c r="F140" s="66"/>
      <c r="G140" s="67"/>
    </row>
    <row r="141" spans="1:7" ht="14.5">
      <c r="A141" s="62"/>
      <c r="B141" s="63"/>
      <c r="C141" s="64"/>
      <c r="D141" s="64"/>
      <c r="E141" s="65"/>
      <c r="F141" s="66"/>
      <c r="G141" s="67"/>
    </row>
    <row r="142" spans="1:7" ht="14.5">
      <c r="A142" s="62"/>
      <c r="B142" s="63"/>
      <c r="C142" s="64"/>
      <c r="D142" s="64"/>
      <c r="E142" s="65"/>
      <c r="F142" s="66"/>
      <c r="G142" s="67"/>
    </row>
    <row r="143" spans="1:7" ht="14.5">
      <c r="A143" s="62"/>
      <c r="B143" s="63"/>
      <c r="C143" s="64"/>
      <c r="D143" s="64"/>
      <c r="E143" s="65"/>
      <c r="F143" s="66"/>
      <c r="G143" s="67"/>
    </row>
    <row r="144" spans="1:7" ht="14.5">
      <c r="A144" s="62"/>
      <c r="B144" s="63"/>
      <c r="C144" s="64"/>
      <c r="D144" s="64"/>
      <c r="E144" s="65"/>
      <c r="F144" s="66"/>
      <c r="G144" s="67"/>
    </row>
    <row r="145" spans="1:7" ht="14.5">
      <c r="A145" s="62"/>
      <c r="B145" s="63"/>
      <c r="C145" s="64"/>
      <c r="D145" s="64"/>
      <c r="E145" s="65"/>
      <c r="F145" s="66"/>
      <c r="G145" s="67"/>
    </row>
    <row r="146" spans="1:7" ht="14.5">
      <c r="A146" s="62"/>
      <c r="B146" s="63"/>
      <c r="C146" s="64"/>
      <c r="D146" s="64"/>
      <c r="E146" s="65"/>
      <c r="F146" s="66"/>
      <c r="G146" s="67"/>
    </row>
    <row r="147" spans="1:7" ht="14.5">
      <c r="A147" s="62"/>
      <c r="B147" s="63"/>
      <c r="C147" s="64"/>
      <c r="D147" s="64"/>
      <c r="E147" s="65"/>
      <c r="F147" s="66"/>
      <c r="G147" s="67"/>
    </row>
    <row r="148" spans="1:7" ht="14.5">
      <c r="A148" s="62"/>
      <c r="B148" s="63"/>
      <c r="C148" s="64"/>
      <c r="D148" s="64"/>
      <c r="E148" s="65"/>
      <c r="F148" s="66"/>
      <c r="G148" s="67"/>
    </row>
    <row r="149" spans="1:7" ht="14.5">
      <c r="A149" s="62"/>
      <c r="B149" s="63"/>
      <c r="C149" s="64"/>
      <c r="D149" s="64"/>
      <c r="E149" s="65"/>
      <c r="F149" s="66"/>
      <c r="G149" s="67"/>
    </row>
    <row r="150" spans="1:7" ht="14.5">
      <c r="A150" s="62"/>
      <c r="B150" s="63"/>
      <c r="C150" s="64"/>
      <c r="D150" s="64"/>
      <c r="E150" s="65"/>
      <c r="F150" s="66"/>
      <c r="G150" s="67"/>
    </row>
    <row r="151" spans="1:7" ht="14.5">
      <c r="A151" s="62"/>
      <c r="B151" s="63"/>
      <c r="C151" s="64"/>
      <c r="D151" s="64"/>
      <c r="E151" s="65"/>
      <c r="F151" s="66"/>
      <c r="G151" s="67"/>
    </row>
    <row r="152" spans="1:7" ht="14.5">
      <c r="A152" s="62"/>
      <c r="B152" s="63"/>
      <c r="C152" s="64"/>
      <c r="D152" s="64"/>
      <c r="E152" s="65"/>
      <c r="F152" s="66"/>
      <c r="G152" s="67"/>
    </row>
    <row r="153" spans="1:7" ht="14.5">
      <c r="A153" s="6"/>
      <c r="B153" s="7"/>
      <c r="C153" s="2"/>
      <c r="D153" s="2"/>
      <c r="E153" s="45"/>
      <c r="F153" s="10"/>
    </row>
    <row r="154" spans="1:7" ht="14.5">
      <c r="A154" s="6"/>
      <c r="B154" s="7"/>
      <c r="C154" s="2"/>
      <c r="D154" s="2"/>
      <c r="E154" s="45"/>
      <c r="F154" s="10"/>
    </row>
    <row r="155" spans="1:7" ht="14.5">
      <c r="A155" s="6"/>
      <c r="B155" s="7"/>
      <c r="C155" s="2"/>
      <c r="D155" s="2"/>
      <c r="E155" s="45"/>
      <c r="F155" s="10"/>
    </row>
    <row r="156" spans="1:7" ht="14.5">
      <c r="A156" s="6"/>
      <c r="B156" s="7"/>
      <c r="C156" s="2"/>
      <c r="D156" s="2"/>
      <c r="E156" s="45"/>
      <c r="F156" s="10"/>
    </row>
    <row r="157" spans="1:7" ht="17.25" customHeight="1">
      <c r="A157" s="16"/>
      <c r="B157" s="17"/>
      <c r="C157" s="18"/>
      <c r="D157" s="18"/>
      <c r="E157" s="49"/>
      <c r="F157" s="20"/>
    </row>
    <row r="158" spans="1:7" ht="14.5">
      <c r="A158" s="6"/>
      <c r="B158" s="7"/>
      <c r="C158" s="12"/>
      <c r="D158" s="12"/>
      <c r="E158" s="46"/>
      <c r="F158" s="10"/>
    </row>
    <row r="159" spans="1:7" ht="14.5">
      <c r="A159" s="6"/>
      <c r="B159" s="7"/>
      <c r="C159" s="12"/>
      <c r="D159" s="10"/>
      <c r="E159" s="48"/>
      <c r="F159" s="10"/>
    </row>
    <row r="160" spans="1:7" ht="14.5">
      <c r="A160" s="6"/>
      <c r="B160" s="7"/>
      <c r="C160" s="12"/>
      <c r="D160" s="10"/>
      <c r="E160" s="48"/>
      <c r="F160" s="10"/>
    </row>
    <row r="161" spans="1:6" ht="14.5">
      <c r="A161" s="6"/>
      <c r="B161" s="7"/>
      <c r="C161" s="12"/>
      <c r="D161" s="10"/>
      <c r="E161" s="48"/>
      <c r="F161" s="10"/>
    </row>
    <row r="162" spans="1:6" ht="14.5">
      <c r="A162" s="6"/>
      <c r="B162" s="7"/>
      <c r="C162" s="12"/>
      <c r="D162" s="10"/>
      <c r="E162" s="48"/>
      <c r="F162" s="10"/>
    </row>
    <row r="163" spans="1:6" ht="14.5">
      <c r="A163" s="6"/>
      <c r="B163" s="7"/>
      <c r="C163" s="12"/>
      <c r="D163" s="10"/>
      <c r="E163" s="48"/>
      <c r="F163" s="10"/>
    </row>
    <row r="164" spans="1:6" ht="14.5">
      <c r="A164" s="6"/>
      <c r="B164" s="7"/>
      <c r="C164" s="12"/>
      <c r="D164" s="10"/>
      <c r="E164" s="48"/>
      <c r="F164" s="10"/>
    </row>
    <row r="165" spans="1:6" ht="14.5">
      <c r="A165" s="6"/>
      <c r="B165" s="7"/>
      <c r="C165" s="12"/>
      <c r="D165" s="10"/>
      <c r="E165" s="48"/>
      <c r="F165" s="10"/>
    </row>
    <row r="166" spans="1:6" ht="14.5">
      <c r="A166" s="6"/>
      <c r="B166" s="7"/>
      <c r="C166" s="12"/>
      <c r="D166" s="10"/>
      <c r="E166" s="48"/>
      <c r="F166" s="10"/>
    </row>
    <row r="167" spans="1:6" ht="14.5">
      <c r="A167" s="6"/>
      <c r="B167" s="7"/>
      <c r="C167" s="12"/>
      <c r="D167" s="10"/>
      <c r="E167" s="48"/>
      <c r="F167" s="10"/>
    </row>
    <row r="168" spans="1:6" ht="14.5">
      <c r="A168" s="6"/>
      <c r="B168" s="7"/>
      <c r="C168" s="12"/>
      <c r="D168" s="10"/>
      <c r="E168" s="48"/>
      <c r="F168" s="10"/>
    </row>
    <row r="169" spans="1:6" ht="14.5">
      <c r="A169" s="6"/>
      <c r="B169" s="7"/>
      <c r="C169" s="12"/>
      <c r="D169" s="10"/>
      <c r="E169" s="48"/>
      <c r="F169" s="10"/>
    </row>
    <row r="170" spans="1:6" ht="14.5">
      <c r="A170" s="6"/>
      <c r="B170" s="7"/>
      <c r="C170" s="12"/>
      <c r="D170" s="10"/>
      <c r="E170" s="48"/>
      <c r="F170" s="10"/>
    </row>
    <row r="171" spans="1:6" ht="14.5">
      <c r="A171" s="6"/>
      <c r="B171" s="7"/>
      <c r="C171" s="12"/>
      <c r="D171" s="10"/>
      <c r="E171" s="48"/>
      <c r="F171" s="10"/>
    </row>
    <row r="172" spans="1:6" ht="14.5">
      <c r="A172" s="6"/>
      <c r="B172" s="7"/>
      <c r="C172" s="12"/>
      <c r="D172" s="10"/>
      <c r="E172" s="48"/>
      <c r="F172" s="10"/>
    </row>
    <row r="173" spans="1:6" ht="14.5">
      <c r="A173" s="6"/>
      <c r="B173" s="7"/>
      <c r="C173" s="12"/>
      <c r="D173" s="12"/>
      <c r="E173" s="46"/>
      <c r="F173" s="10"/>
    </row>
    <row r="174" spans="1:6" ht="14.5">
      <c r="A174" s="6"/>
      <c r="B174" s="7"/>
      <c r="C174" s="12"/>
      <c r="D174" s="12"/>
      <c r="E174" s="46"/>
      <c r="F174" s="10"/>
    </row>
    <row r="175" spans="1:6" ht="14.5">
      <c r="A175" s="6"/>
      <c r="B175" s="7"/>
      <c r="C175" s="12"/>
      <c r="D175" s="10"/>
      <c r="E175" s="46"/>
      <c r="F175" s="10"/>
    </row>
    <row r="176" spans="1:6" ht="14.5">
      <c r="A176" s="6"/>
      <c r="B176" s="7"/>
      <c r="C176" s="12"/>
      <c r="D176" s="10"/>
      <c r="E176" s="46"/>
      <c r="F176" s="10"/>
    </row>
    <row r="177" spans="1:6" ht="14.5">
      <c r="A177" s="6"/>
      <c r="B177" s="7"/>
      <c r="C177" s="12"/>
      <c r="D177" s="10"/>
      <c r="E177" s="46"/>
      <c r="F177" s="10"/>
    </row>
    <row r="178" spans="1:6" ht="14.5">
      <c r="A178" s="6"/>
      <c r="B178" s="7"/>
      <c r="C178" s="12"/>
      <c r="D178" s="10"/>
      <c r="E178" s="46"/>
      <c r="F178" s="10"/>
    </row>
    <row r="179" spans="1:6" ht="14.5">
      <c r="A179" s="6"/>
      <c r="B179" s="7"/>
      <c r="C179" s="12"/>
      <c r="D179" s="10"/>
      <c r="E179" s="48"/>
      <c r="F179" s="10"/>
    </row>
    <row r="180" spans="1:6" ht="14.5">
      <c r="A180" s="6"/>
      <c r="B180" s="7"/>
      <c r="C180" s="12"/>
      <c r="D180" s="10"/>
      <c r="E180" s="48"/>
      <c r="F180" s="10"/>
    </row>
    <row r="181" spans="1:6" ht="14.5">
      <c r="A181" s="6"/>
      <c r="B181" s="7"/>
      <c r="C181" s="12"/>
      <c r="D181" s="10"/>
      <c r="E181" s="48"/>
      <c r="F181" s="10"/>
    </row>
    <row r="182" spans="1:6" ht="14.5">
      <c r="A182" s="6"/>
      <c r="B182" s="7"/>
      <c r="C182" s="12"/>
      <c r="D182" s="10"/>
      <c r="E182" s="48"/>
      <c r="F182" s="10"/>
    </row>
    <row r="183" spans="1:6" ht="14.5">
      <c r="A183" s="6"/>
      <c r="B183" s="7"/>
      <c r="C183" s="10"/>
      <c r="D183" s="10"/>
      <c r="E183" s="48"/>
      <c r="F183" s="10"/>
    </row>
    <row r="184" spans="1:6" ht="14.5">
      <c r="A184" s="6"/>
      <c r="B184" s="7"/>
      <c r="C184" s="12"/>
      <c r="D184" s="12"/>
      <c r="E184" s="46"/>
      <c r="F184" s="10"/>
    </row>
    <row r="185" spans="1:6" ht="14.5">
      <c r="A185" s="6"/>
      <c r="B185" s="7"/>
      <c r="C185" s="12"/>
      <c r="D185" s="12"/>
      <c r="E185" s="46"/>
      <c r="F185" s="10"/>
    </row>
    <row r="186" spans="1:6" ht="14.5">
      <c r="A186" s="6"/>
      <c r="B186" s="7"/>
      <c r="C186" s="12"/>
      <c r="D186" s="12"/>
      <c r="E186" s="46"/>
      <c r="F186" s="10"/>
    </row>
    <row r="187" spans="1:6" ht="14.5">
      <c r="A187" s="6"/>
      <c r="B187" s="7"/>
      <c r="C187" s="12"/>
      <c r="D187" s="10"/>
      <c r="E187" s="48"/>
      <c r="F187" s="10"/>
    </row>
    <row r="188" spans="1:6" ht="14.5">
      <c r="A188" s="6"/>
      <c r="B188" s="7"/>
      <c r="C188" s="8"/>
      <c r="D188" s="8"/>
      <c r="E188" s="44"/>
      <c r="F188" s="10"/>
    </row>
    <row r="189" spans="1:6" ht="14.5">
      <c r="A189" s="6"/>
      <c r="B189" s="7"/>
      <c r="C189" s="8"/>
      <c r="D189" s="8"/>
      <c r="E189" s="44"/>
      <c r="F189" s="10"/>
    </row>
    <row r="190" spans="1:6" ht="14.5">
      <c r="A190" s="6"/>
      <c r="B190" s="7"/>
      <c r="C190" s="8"/>
      <c r="D190" s="8"/>
      <c r="E190" s="44"/>
      <c r="F190" s="10"/>
    </row>
    <row r="191" spans="1:6" ht="14.5">
      <c r="A191" s="6"/>
      <c r="B191" s="7"/>
      <c r="C191" s="8"/>
      <c r="D191" s="8"/>
      <c r="E191" s="44"/>
      <c r="F191" s="10"/>
    </row>
    <row r="192" spans="1:6" ht="14.5">
      <c r="A192" s="6"/>
      <c r="B192" s="7"/>
      <c r="C192" s="8"/>
      <c r="D192" s="8"/>
      <c r="E192" s="44"/>
      <c r="F192" s="10"/>
    </row>
    <row r="193" spans="1:6" ht="14.5">
      <c r="A193" s="6"/>
      <c r="B193" s="7"/>
      <c r="C193" s="8"/>
      <c r="D193" s="8"/>
      <c r="E193" s="44"/>
      <c r="F193" s="10"/>
    </row>
    <row r="194" spans="1:6" ht="14.5">
      <c r="A194" s="6"/>
      <c r="B194" s="7"/>
      <c r="C194" s="8"/>
      <c r="D194" s="8"/>
      <c r="E194" s="44"/>
      <c r="F194" s="10"/>
    </row>
    <row r="195" spans="1:6" ht="14.5">
      <c r="A195" s="6"/>
      <c r="B195" s="7"/>
      <c r="C195" s="8"/>
      <c r="D195" s="8"/>
      <c r="E195" s="44"/>
      <c r="F195" s="10"/>
    </row>
    <row r="196" spans="1:6" ht="14.5">
      <c r="A196" s="6"/>
      <c r="B196" s="7"/>
      <c r="C196" s="8"/>
      <c r="D196" s="8"/>
      <c r="E196" s="44"/>
      <c r="F196" s="10"/>
    </row>
    <row r="197" spans="1:6" ht="14.5">
      <c r="A197" s="6"/>
      <c r="B197" s="7"/>
      <c r="C197" s="8"/>
      <c r="D197" s="8"/>
      <c r="E197" s="44"/>
      <c r="F197" s="10"/>
    </row>
    <row r="198" spans="1:6" ht="14.5">
      <c r="A198" s="6"/>
      <c r="B198" s="7"/>
      <c r="C198" s="8"/>
      <c r="D198" s="8"/>
      <c r="E198" s="44"/>
      <c r="F198" s="10"/>
    </row>
    <row r="199" spans="1:6" ht="14.5">
      <c r="A199" s="6"/>
      <c r="B199" s="7"/>
      <c r="C199" s="8"/>
      <c r="D199" s="8"/>
      <c r="E199" s="44"/>
      <c r="F199" s="10"/>
    </row>
    <row r="200" spans="1:6" ht="14.5">
      <c r="A200" s="6"/>
      <c r="B200" s="7"/>
      <c r="C200" s="8"/>
      <c r="D200" s="8"/>
      <c r="E200" s="44"/>
      <c r="F200" s="10"/>
    </row>
    <row r="201" spans="1:6" ht="14.5">
      <c r="A201" s="6"/>
      <c r="B201" s="7"/>
      <c r="C201" s="8"/>
      <c r="D201" s="8"/>
      <c r="E201" s="44"/>
      <c r="F201" s="10"/>
    </row>
    <row r="202" spans="1:6" ht="14.5">
      <c r="A202" s="6"/>
      <c r="B202" s="7"/>
      <c r="C202" s="8"/>
      <c r="D202" s="8"/>
      <c r="E202" s="44"/>
      <c r="F202" s="10"/>
    </row>
    <row r="203" spans="1:6" ht="14.5">
      <c r="A203" s="6"/>
      <c r="B203" s="7"/>
      <c r="C203" s="8"/>
      <c r="D203" s="8"/>
      <c r="E203" s="44"/>
      <c r="F203" s="10"/>
    </row>
    <row r="204" spans="1:6" ht="14.5">
      <c r="A204" s="6"/>
      <c r="B204" s="7"/>
      <c r="C204" s="8"/>
      <c r="D204" s="8"/>
      <c r="E204" s="44"/>
      <c r="F204" s="10"/>
    </row>
    <row r="205" spans="1:6" ht="14.5">
      <c r="A205" s="6"/>
      <c r="B205" s="7"/>
      <c r="C205" s="8"/>
      <c r="D205" s="8"/>
      <c r="E205" s="44"/>
      <c r="F205" s="10"/>
    </row>
    <row r="206" spans="1:6" ht="14.5">
      <c r="A206" s="6"/>
      <c r="B206" s="7"/>
      <c r="C206" s="8"/>
      <c r="D206" s="8"/>
      <c r="E206" s="44"/>
      <c r="F206" s="10"/>
    </row>
    <row r="207" spans="1:6" ht="14.5">
      <c r="A207" s="6"/>
      <c r="B207" s="7"/>
      <c r="C207" s="8"/>
      <c r="D207" s="8"/>
      <c r="E207" s="44"/>
      <c r="F207" s="10"/>
    </row>
    <row r="208" spans="1:6" ht="14.5">
      <c r="A208" s="6"/>
      <c r="B208" s="7"/>
      <c r="C208" s="8"/>
      <c r="D208" s="8"/>
      <c r="E208" s="44"/>
      <c r="F208" s="10"/>
    </row>
    <row r="209" spans="1:6" ht="14.5">
      <c r="A209" s="6"/>
      <c r="B209" s="7"/>
      <c r="C209" s="8"/>
      <c r="D209" s="8"/>
      <c r="E209" s="44"/>
      <c r="F209" s="10"/>
    </row>
    <row r="210" spans="1:6" ht="14.5">
      <c r="A210" s="6"/>
      <c r="B210" s="7"/>
      <c r="C210" s="8"/>
      <c r="D210" s="8"/>
      <c r="E210" s="44"/>
      <c r="F210" s="10"/>
    </row>
    <row r="211" spans="1:6" ht="14.5">
      <c r="A211" s="6"/>
      <c r="B211" s="7"/>
      <c r="C211" s="8"/>
      <c r="D211" s="8"/>
      <c r="E211" s="44"/>
      <c r="F211" s="10"/>
    </row>
    <row r="212" spans="1:6" ht="14.5">
      <c r="A212" s="6"/>
      <c r="B212" s="7"/>
      <c r="C212" s="8"/>
      <c r="D212" s="8"/>
      <c r="E212" s="44"/>
      <c r="F212" s="10"/>
    </row>
    <row r="213" spans="1:6" ht="14.5">
      <c r="A213" s="6"/>
      <c r="B213" s="7"/>
      <c r="C213" s="8"/>
      <c r="D213" s="8"/>
      <c r="E213" s="44"/>
      <c r="F213" s="10"/>
    </row>
    <row r="214" spans="1:6" ht="14.5">
      <c r="A214" s="6"/>
      <c r="B214" s="7"/>
      <c r="C214" s="8"/>
      <c r="D214" s="8"/>
      <c r="E214" s="44"/>
      <c r="F214" s="10"/>
    </row>
    <row r="215" spans="1:6" ht="14.5">
      <c r="A215" s="6"/>
      <c r="B215" s="7"/>
      <c r="C215" s="8"/>
      <c r="D215" s="8"/>
      <c r="E215" s="44"/>
      <c r="F215" s="10"/>
    </row>
    <row r="216" spans="1:6" ht="14.5">
      <c r="A216" s="6"/>
      <c r="B216" s="7"/>
      <c r="C216" s="8"/>
      <c r="D216" s="8"/>
      <c r="E216" s="44"/>
      <c r="F216" s="10"/>
    </row>
    <row r="217" spans="1:6" ht="14.5">
      <c r="A217" s="6"/>
      <c r="B217" s="7"/>
      <c r="C217" s="8"/>
      <c r="D217" s="8"/>
      <c r="E217" s="44"/>
      <c r="F217" s="10"/>
    </row>
    <row r="218" spans="1:6" ht="14.5">
      <c r="A218" s="6"/>
      <c r="B218" s="7"/>
      <c r="C218" s="8"/>
      <c r="D218" s="8"/>
      <c r="E218" s="44"/>
      <c r="F218" s="10"/>
    </row>
    <row r="219" spans="1:6" ht="14.5">
      <c r="A219" s="6"/>
      <c r="B219" s="7"/>
      <c r="C219" s="8"/>
      <c r="D219" s="8"/>
      <c r="E219" s="44"/>
      <c r="F219" s="10"/>
    </row>
    <row r="220" spans="1:6" ht="14.5">
      <c r="A220" s="6"/>
      <c r="B220" s="7"/>
      <c r="C220" s="8"/>
      <c r="D220" s="8"/>
      <c r="E220" s="44"/>
      <c r="F220" s="10"/>
    </row>
    <row r="221" spans="1:6" ht="14.5">
      <c r="A221" s="6"/>
      <c r="B221" s="7"/>
      <c r="C221" s="8"/>
      <c r="D221" s="8"/>
      <c r="E221" s="44"/>
      <c r="F221" s="10"/>
    </row>
    <row r="222" spans="1:6" ht="14.5">
      <c r="A222" s="6"/>
      <c r="B222" s="7"/>
      <c r="C222" s="8"/>
      <c r="D222" s="8"/>
      <c r="E222" s="44"/>
      <c r="F222" s="10"/>
    </row>
    <row r="223" spans="1:6" ht="14.5">
      <c r="A223" s="6"/>
      <c r="B223" s="7"/>
      <c r="C223" s="8"/>
      <c r="D223" s="8"/>
      <c r="E223" s="44"/>
      <c r="F223" s="10"/>
    </row>
    <row r="224" spans="1:6" ht="14.5">
      <c r="A224" s="6"/>
      <c r="B224" s="7"/>
      <c r="C224" s="8"/>
      <c r="D224" s="8"/>
      <c r="E224" s="44"/>
      <c r="F224" s="10"/>
    </row>
    <row r="225" spans="1:6" ht="14.5">
      <c r="A225" s="6"/>
      <c r="B225" s="7"/>
      <c r="C225" s="8"/>
      <c r="D225" s="8"/>
      <c r="E225" s="44"/>
      <c r="F225" s="10"/>
    </row>
    <row r="226" spans="1:6" ht="14.5">
      <c r="A226" s="6"/>
      <c r="B226" s="7"/>
      <c r="C226" s="8"/>
      <c r="D226" s="8"/>
      <c r="E226" s="44"/>
      <c r="F226" s="10"/>
    </row>
    <row r="227" spans="1:6" ht="14.5">
      <c r="A227" s="6"/>
      <c r="B227" s="7"/>
      <c r="C227" s="8"/>
      <c r="D227" s="8"/>
      <c r="E227" s="44"/>
      <c r="F227" s="10"/>
    </row>
    <row r="228" spans="1:6" ht="14.5">
      <c r="A228" s="6"/>
      <c r="B228" s="7"/>
      <c r="C228" s="8"/>
      <c r="D228" s="8"/>
      <c r="E228" s="44"/>
      <c r="F228" s="10"/>
    </row>
    <row r="229" spans="1:6" ht="14.5">
      <c r="A229" s="6"/>
      <c r="B229" s="7"/>
      <c r="C229" s="8"/>
      <c r="D229" s="8"/>
      <c r="E229" s="44"/>
      <c r="F229" s="10"/>
    </row>
    <row r="230" spans="1:6" ht="14.5">
      <c r="A230" s="6"/>
      <c r="B230" s="7"/>
      <c r="C230" s="8"/>
      <c r="D230" s="8"/>
      <c r="E230" s="44"/>
      <c r="F230" s="10"/>
    </row>
    <row r="231" spans="1:6" ht="14.5">
      <c r="A231" s="6"/>
      <c r="B231" s="7"/>
      <c r="C231" s="8"/>
      <c r="D231" s="8"/>
      <c r="E231" s="44"/>
      <c r="F231" s="10"/>
    </row>
    <row r="232" spans="1:6" ht="14.5">
      <c r="A232" s="6"/>
      <c r="B232" s="7"/>
      <c r="C232" s="8"/>
      <c r="D232" s="8"/>
      <c r="E232" s="44"/>
      <c r="F232" s="10"/>
    </row>
    <row r="233" spans="1:6" ht="14.5">
      <c r="A233" s="6"/>
      <c r="B233" s="7"/>
      <c r="C233" s="8"/>
      <c r="D233" s="8"/>
      <c r="E233" s="44"/>
      <c r="F233" s="10"/>
    </row>
    <row r="234" spans="1:6" ht="14.5">
      <c r="A234" s="6"/>
      <c r="B234" s="7"/>
      <c r="C234" s="8"/>
      <c r="D234" s="8"/>
      <c r="E234" s="44"/>
      <c r="F234" s="10"/>
    </row>
    <row r="235" spans="1:6" ht="14.5">
      <c r="A235" s="6"/>
      <c r="B235" s="7"/>
      <c r="C235" s="8"/>
      <c r="D235" s="8"/>
      <c r="E235" s="44"/>
      <c r="F235" s="10"/>
    </row>
    <row r="236" spans="1:6" ht="14.5">
      <c r="A236" s="6"/>
      <c r="B236" s="7"/>
      <c r="C236" s="8"/>
      <c r="D236" s="8"/>
      <c r="E236" s="44"/>
      <c r="F236" s="10"/>
    </row>
    <row r="237" spans="1:6" ht="14.5">
      <c r="A237" s="6"/>
      <c r="B237" s="7"/>
      <c r="C237" s="8"/>
      <c r="D237" s="8"/>
      <c r="E237" s="44"/>
      <c r="F237" s="10"/>
    </row>
    <row r="238" spans="1:6" ht="14.5">
      <c r="A238" s="6"/>
      <c r="B238" s="7"/>
      <c r="C238" s="8"/>
      <c r="D238" s="8"/>
      <c r="E238" s="47"/>
      <c r="F238" s="10"/>
    </row>
    <row r="239" spans="1:6" ht="14.5">
      <c r="A239" s="6"/>
      <c r="B239" s="7"/>
      <c r="C239" s="14"/>
      <c r="D239" s="14"/>
      <c r="E239" s="47"/>
      <c r="F239" s="10"/>
    </row>
    <row r="240" spans="1:6" ht="14.5">
      <c r="A240" s="6"/>
      <c r="B240" s="7"/>
      <c r="C240" s="14"/>
      <c r="D240" s="14"/>
      <c r="E240" s="47"/>
      <c r="F240" s="10"/>
    </row>
    <row r="241" spans="1:6" ht="14.5">
      <c r="A241" s="6"/>
      <c r="B241" s="7"/>
      <c r="C241" s="14"/>
      <c r="D241" s="14"/>
      <c r="E241" s="47"/>
      <c r="F241" s="10"/>
    </row>
    <row r="242" spans="1:6" ht="14.5">
      <c r="A242" s="6"/>
      <c r="B242" s="7"/>
      <c r="C242" s="8"/>
      <c r="D242" s="8"/>
      <c r="E242" s="44"/>
      <c r="F242" s="10"/>
    </row>
    <row r="243" spans="1:6" ht="14.5">
      <c r="A243" s="6"/>
      <c r="B243" s="7"/>
      <c r="C243" s="8"/>
      <c r="D243" s="8"/>
      <c r="E243" s="44"/>
      <c r="F243" s="10"/>
    </row>
    <row r="244" spans="1:6" ht="14.5">
      <c r="A244" s="6"/>
      <c r="B244" s="7"/>
      <c r="C244" s="8"/>
      <c r="D244" s="8"/>
      <c r="E244" s="44"/>
      <c r="F244" s="10"/>
    </row>
    <row r="245" spans="1:6" ht="14.5">
      <c r="A245" s="6"/>
      <c r="B245" s="7"/>
      <c r="C245" s="8"/>
      <c r="D245" s="8"/>
      <c r="E245" s="44"/>
      <c r="F245" s="10"/>
    </row>
    <row r="246" spans="1:6" ht="14.5">
      <c r="A246" s="6"/>
      <c r="B246" s="7"/>
      <c r="C246" s="8"/>
      <c r="D246" s="8"/>
      <c r="E246" s="44"/>
      <c r="F246" s="10"/>
    </row>
    <row r="247" spans="1:6" ht="14.5">
      <c r="A247" s="6"/>
      <c r="B247" s="7"/>
      <c r="C247" s="8"/>
      <c r="D247" s="8"/>
      <c r="E247" s="44"/>
      <c r="F247" s="10"/>
    </row>
    <row r="248" spans="1:6" ht="14.5">
      <c r="A248" s="6"/>
      <c r="B248" s="7"/>
      <c r="C248" s="14"/>
      <c r="D248" s="14"/>
      <c r="E248" s="47"/>
      <c r="F248" s="10"/>
    </row>
    <row r="249" spans="1:6" ht="14.5">
      <c r="A249" s="6"/>
      <c r="B249" s="7"/>
      <c r="C249" s="8"/>
      <c r="D249" s="8"/>
      <c r="E249" s="44"/>
      <c r="F249" s="10"/>
    </row>
    <row r="250" spans="1:6" ht="14.5">
      <c r="A250" s="6"/>
      <c r="B250" s="7"/>
      <c r="C250" s="14"/>
      <c r="D250" s="14"/>
      <c r="E250" s="47"/>
      <c r="F250" s="10"/>
    </row>
    <row r="251" spans="1:6" ht="14.5">
      <c r="A251" s="6"/>
      <c r="B251" s="7"/>
      <c r="C251" s="8"/>
      <c r="D251" s="8"/>
      <c r="E251" s="44"/>
      <c r="F251" s="10"/>
    </row>
    <row r="252" spans="1:6" ht="14.5">
      <c r="A252" s="6"/>
      <c r="B252" s="7"/>
      <c r="C252" s="8"/>
      <c r="D252" s="8"/>
      <c r="E252" s="44"/>
      <c r="F252" s="10"/>
    </row>
    <row r="253" spans="1:6" ht="14.5">
      <c r="A253" s="6"/>
      <c r="B253" s="7"/>
      <c r="C253" s="8"/>
      <c r="D253" s="8"/>
      <c r="E253" s="44"/>
      <c r="F253" s="10"/>
    </row>
    <row r="254" spans="1:6" ht="14.5">
      <c r="A254" s="6"/>
      <c r="B254" s="7"/>
      <c r="C254" s="8"/>
      <c r="D254" s="8"/>
      <c r="E254" s="44"/>
      <c r="F254" s="10"/>
    </row>
    <row r="255" spans="1:6" ht="14.5">
      <c r="A255" s="22"/>
      <c r="B255" s="7"/>
      <c r="C255" s="12"/>
      <c r="D255" s="12"/>
      <c r="E255" s="46"/>
      <c r="F255" s="10"/>
    </row>
    <row r="256" spans="1:6" ht="14.5">
      <c r="A256" s="22"/>
      <c r="B256" s="7"/>
      <c r="C256" s="12"/>
      <c r="D256" s="10"/>
      <c r="E256" s="48"/>
      <c r="F256" s="10"/>
    </row>
    <row r="257" spans="1:6" ht="14.5">
      <c r="A257" s="22"/>
      <c r="B257" s="7"/>
      <c r="C257" s="12"/>
      <c r="D257" s="10"/>
      <c r="E257" s="48"/>
      <c r="F257" s="10"/>
    </row>
    <row r="258" spans="1:6" ht="14.5">
      <c r="A258" s="22"/>
      <c r="B258" s="7"/>
      <c r="C258" s="12"/>
      <c r="D258" s="10"/>
      <c r="E258" s="48"/>
      <c r="F258" s="10"/>
    </row>
    <row r="259" spans="1:6" ht="14.5">
      <c r="A259" s="22"/>
      <c r="B259" s="7"/>
      <c r="C259" s="12"/>
      <c r="D259" s="10"/>
      <c r="E259" s="48"/>
      <c r="F259" s="10"/>
    </row>
    <row r="260" spans="1:6" ht="14.5">
      <c r="A260" s="22"/>
      <c r="B260" s="7"/>
      <c r="C260" s="12"/>
      <c r="D260" s="12"/>
      <c r="E260" s="48"/>
      <c r="F260" s="10"/>
    </row>
    <row r="261" spans="1:6" ht="14.5">
      <c r="A261" s="22"/>
      <c r="B261" s="7"/>
      <c r="C261" s="12"/>
      <c r="D261" s="10"/>
      <c r="E261" s="48"/>
      <c r="F261" s="10"/>
    </row>
    <row r="262" spans="1:6" ht="14.5">
      <c r="A262" s="22"/>
      <c r="B262" s="7"/>
      <c r="C262" s="12"/>
      <c r="D262" s="10"/>
      <c r="E262" s="48"/>
      <c r="F262" s="10"/>
    </row>
    <row r="263" spans="1:6" ht="15.75" customHeight="1">
      <c r="A263" s="221"/>
      <c r="B263" s="7"/>
      <c r="C263" s="222"/>
      <c r="D263" s="223"/>
      <c r="E263" s="224"/>
      <c r="F263" s="10"/>
    </row>
    <row r="264" spans="1:6" ht="15.75" customHeight="1">
      <c r="A264" s="221"/>
      <c r="B264" s="7"/>
      <c r="C264" s="222"/>
      <c r="D264" s="225"/>
      <c r="E264" s="224"/>
      <c r="F264" s="10"/>
    </row>
    <row r="265" spans="1:6" ht="15.75" customHeight="1">
      <c r="A265" s="221"/>
      <c r="B265" s="7"/>
      <c r="C265" s="222"/>
      <c r="D265" s="225"/>
      <c r="E265" s="224"/>
      <c r="F265" s="10"/>
    </row>
    <row r="266" spans="1:6" ht="15.75" customHeight="1">
      <c r="A266" s="221"/>
      <c r="B266" s="7"/>
      <c r="C266" s="222"/>
      <c r="D266" s="223"/>
      <c r="E266" s="224"/>
    </row>
    <row r="267" spans="1:6" ht="15.75" customHeight="1">
      <c r="A267" s="221"/>
      <c r="B267" s="7"/>
      <c r="C267" s="222"/>
      <c r="D267" s="223"/>
      <c r="E267" s="224"/>
    </row>
    <row r="268" spans="1:6" ht="15.75" customHeight="1">
      <c r="A268" s="221"/>
      <c r="B268" s="7"/>
      <c r="C268" s="222"/>
      <c r="D268" s="223"/>
      <c r="E268" s="224"/>
      <c r="F268" s="10"/>
    </row>
    <row r="269" spans="1:6" ht="15.75" customHeight="1">
      <c r="A269" s="221"/>
      <c r="B269" s="7"/>
      <c r="C269" s="222"/>
      <c r="D269" s="223"/>
      <c r="E269" s="224"/>
      <c r="F269" s="10"/>
    </row>
    <row r="270" spans="1:6" ht="15.75" customHeight="1">
      <c r="A270" s="221"/>
      <c r="B270" s="7"/>
      <c r="C270" s="222"/>
      <c r="D270" s="226"/>
      <c r="E270" s="227"/>
    </row>
    <row r="271" spans="1:6" ht="15.75" customHeight="1">
      <c r="A271" s="221"/>
      <c r="B271" s="7"/>
      <c r="C271" s="40"/>
      <c r="D271" s="40"/>
      <c r="E271" s="42"/>
      <c r="F271" s="10"/>
    </row>
    <row r="272" spans="1:6" ht="15.75" customHeight="1">
      <c r="A272" s="221"/>
      <c r="B272" s="7"/>
      <c r="C272" s="40"/>
      <c r="D272" s="40"/>
      <c r="E272" s="42"/>
      <c r="F272" s="10"/>
    </row>
    <row r="273" spans="1:6" ht="15.75" customHeight="1">
      <c r="A273" s="221"/>
      <c r="B273" s="7"/>
      <c r="C273" s="40"/>
      <c r="D273" s="40"/>
      <c r="E273" s="42"/>
    </row>
    <row r="274" spans="1:6" ht="15.75" customHeight="1">
      <c r="A274" s="221"/>
      <c r="B274" s="7"/>
      <c r="C274" s="222"/>
      <c r="D274" s="225"/>
      <c r="E274" s="224"/>
      <c r="F274" s="10"/>
    </row>
    <row r="275" spans="1:6" ht="15.75" customHeight="1">
      <c r="A275" s="221"/>
      <c r="B275" s="7"/>
      <c r="C275" s="222"/>
      <c r="D275" s="223"/>
      <c r="E275" s="224"/>
      <c r="F275" s="10"/>
    </row>
    <row r="276" spans="1:6" ht="15.75" customHeight="1">
      <c r="A276" s="221"/>
      <c r="B276" s="7"/>
      <c r="C276" s="222"/>
      <c r="D276" s="225"/>
      <c r="E276" s="224"/>
      <c r="F276" s="10"/>
    </row>
    <row r="277" spans="1:6" ht="15.75" customHeight="1">
      <c r="A277" s="221"/>
      <c r="B277" s="7"/>
      <c r="C277" s="222"/>
      <c r="D277" s="225"/>
      <c r="E277" s="224"/>
      <c r="F277" s="10"/>
    </row>
    <row r="278" spans="1:6" ht="15.75" customHeight="1">
      <c r="A278" s="221"/>
      <c r="B278" s="7"/>
      <c r="C278" s="222"/>
      <c r="D278" s="223"/>
      <c r="E278" s="224"/>
      <c r="F278" s="10"/>
    </row>
    <row r="279" spans="1:6" ht="15.75" customHeight="1">
      <c r="A279" s="221"/>
      <c r="B279" s="7"/>
      <c r="C279" s="222"/>
      <c r="D279" s="223"/>
      <c r="E279" s="224"/>
    </row>
    <row r="280" spans="1:6" ht="15.75" customHeight="1">
      <c r="A280" s="221"/>
      <c r="B280" s="7"/>
      <c r="C280" s="40"/>
      <c r="D280" s="40"/>
      <c r="E280" s="42"/>
      <c r="F280" s="10"/>
    </row>
    <row r="281" spans="1:6" ht="15.75" customHeight="1">
      <c r="A281" s="221"/>
      <c r="B281" s="7"/>
      <c r="C281" s="40"/>
      <c r="D281" s="40"/>
      <c r="E281" s="42"/>
    </row>
    <row r="282" spans="1:6" ht="15.75" customHeight="1">
      <c r="A282" s="221"/>
      <c r="B282" s="7"/>
      <c r="C282" s="40"/>
      <c r="D282" s="40"/>
      <c r="E282" s="42"/>
    </row>
    <row r="283" spans="1:6" ht="15.75" customHeight="1">
      <c r="A283" s="221"/>
      <c r="B283" s="7"/>
      <c r="C283" s="41"/>
      <c r="D283" s="41"/>
      <c r="E283" s="43"/>
    </row>
    <row r="284" spans="1:6" ht="15.75" customHeight="1">
      <c r="A284" s="221"/>
      <c r="B284" s="7"/>
      <c r="C284" s="41"/>
      <c r="D284" s="41"/>
      <c r="E284" s="43"/>
    </row>
    <row r="285" spans="1:6" ht="15.75" customHeight="1">
      <c r="A285" s="221"/>
      <c r="B285" s="7"/>
      <c r="C285" s="41"/>
      <c r="D285" s="41"/>
      <c r="E285" s="43"/>
    </row>
  </sheetData>
  <autoFilter ref="A1:F285" xr:uid="{00000000-0001-0000-0000-000000000000}"/>
  <dataValidations count="2">
    <dataValidation type="list" showInputMessage="1" showErrorMessage="1" sqref="F2 F4:F5 F7 F9:F1048576" xr:uid="{8389DA08-CBE0-4409-A8FB-54D48148EAF2}">
      <formula1>"OS Service"</formula1>
    </dataValidation>
    <dataValidation type="list" showInputMessage="1" showErrorMessage="1" sqref="F3 F6 F8" xr:uid="{C3567AB9-4C40-43A4-B314-23C9B290D9A1}">
      <formula1>"Security Service"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2"/>
  <sheetViews>
    <sheetView showGridLines="0" workbookViewId="0">
      <pane ySplit="1" topLeftCell="A67" activePane="bottomLeft" state="frozen"/>
      <selection pane="bottomLeft" sqref="A1:G76"/>
    </sheetView>
  </sheetViews>
  <sheetFormatPr defaultColWidth="12.54296875" defaultRowHeight="15.75" customHeight="1"/>
  <cols>
    <col min="1" max="1" width="11.26953125" bestFit="1" customWidth="1"/>
    <col min="2" max="2" width="17.453125" customWidth="1"/>
    <col min="3" max="3" width="36.7265625" customWidth="1"/>
    <col min="4" max="4" width="65.453125" customWidth="1"/>
    <col min="5" max="5" width="12.7265625" style="50" customWidth="1"/>
    <col min="6" max="6" width="18.81640625" customWidth="1"/>
    <col min="7" max="7" width="29" customWidth="1"/>
  </cols>
  <sheetData>
    <row r="1" spans="1:7" s="23" customFormat="1" ht="19.5" customHeight="1">
      <c r="A1" s="60" t="s">
        <v>0</v>
      </c>
      <c r="B1" s="60" t="s">
        <v>1</v>
      </c>
      <c r="C1" s="60" t="s">
        <v>2</v>
      </c>
      <c r="D1" s="60" t="s">
        <v>3</v>
      </c>
      <c r="E1" s="61" t="s">
        <v>4</v>
      </c>
      <c r="F1" s="60" t="s">
        <v>5</v>
      </c>
      <c r="G1" s="60" t="s">
        <v>6</v>
      </c>
    </row>
    <row r="2" spans="1:7" ht="14.5">
      <c r="A2" s="181">
        <v>45659</v>
      </c>
      <c r="B2" s="182">
        <v>45659</v>
      </c>
      <c r="C2" s="175" t="s">
        <v>22</v>
      </c>
      <c r="D2" s="183" t="s">
        <v>23</v>
      </c>
      <c r="E2" s="195">
        <v>797000</v>
      </c>
      <c r="F2" s="184" t="s">
        <v>24</v>
      </c>
      <c r="G2" s="185" t="s">
        <v>25</v>
      </c>
    </row>
    <row r="3" spans="1:7" ht="14.5">
      <c r="A3" s="181">
        <v>45666</v>
      </c>
      <c r="B3" s="182">
        <v>45666</v>
      </c>
      <c r="C3" s="175" t="s">
        <v>26</v>
      </c>
      <c r="D3" s="179" t="s">
        <v>27</v>
      </c>
      <c r="E3" s="195">
        <v>720000</v>
      </c>
      <c r="F3" s="184" t="s">
        <v>24</v>
      </c>
      <c r="G3" s="185" t="s">
        <v>25</v>
      </c>
    </row>
    <row r="4" spans="1:7" ht="14.5">
      <c r="A4" s="181">
        <v>45666</v>
      </c>
      <c r="B4" s="182">
        <v>45666</v>
      </c>
      <c r="C4" s="175" t="s">
        <v>28</v>
      </c>
      <c r="D4" s="186" t="s">
        <v>29</v>
      </c>
      <c r="E4" s="193">
        <v>80000</v>
      </c>
      <c r="F4" s="184" t="s">
        <v>30</v>
      </c>
      <c r="G4" s="185" t="s">
        <v>31</v>
      </c>
    </row>
    <row r="5" spans="1:7" ht="14.5">
      <c r="A5" s="181">
        <v>45664</v>
      </c>
      <c r="B5" s="182">
        <v>45664</v>
      </c>
      <c r="C5" s="175" t="s">
        <v>28</v>
      </c>
      <c r="D5" s="175" t="s">
        <v>32</v>
      </c>
      <c r="E5" s="193">
        <v>170520</v>
      </c>
      <c r="F5" s="184" t="s">
        <v>24</v>
      </c>
      <c r="G5" s="185" t="s">
        <v>25</v>
      </c>
    </row>
    <row r="6" spans="1:7" ht="14.5">
      <c r="A6" s="181">
        <v>45664</v>
      </c>
      <c r="B6" s="182">
        <v>45664</v>
      </c>
      <c r="C6" s="175" t="s">
        <v>28</v>
      </c>
      <c r="D6" s="175" t="s">
        <v>33</v>
      </c>
      <c r="E6" s="193">
        <v>217500</v>
      </c>
      <c r="F6" s="184" t="s">
        <v>24</v>
      </c>
      <c r="G6" s="185" t="s">
        <v>25</v>
      </c>
    </row>
    <row r="7" spans="1:7" ht="14.5">
      <c r="A7" s="181">
        <v>45664</v>
      </c>
      <c r="B7" s="182">
        <v>45664</v>
      </c>
      <c r="C7" s="175" t="s">
        <v>28</v>
      </c>
      <c r="D7" s="175" t="s">
        <v>34</v>
      </c>
      <c r="E7" s="196">
        <v>1225177</v>
      </c>
      <c r="F7" s="184" t="s">
        <v>24</v>
      </c>
      <c r="G7" s="185" t="s">
        <v>25</v>
      </c>
    </row>
    <row r="8" spans="1:7" ht="14.5">
      <c r="A8" s="181">
        <v>45670</v>
      </c>
      <c r="B8" s="182">
        <v>45670</v>
      </c>
      <c r="C8" s="175" t="s">
        <v>35</v>
      </c>
      <c r="D8" s="179" t="s">
        <v>36</v>
      </c>
      <c r="E8" s="195">
        <v>997000</v>
      </c>
      <c r="F8" s="184" t="s">
        <v>24</v>
      </c>
      <c r="G8" s="185" t="s">
        <v>25</v>
      </c>
    </row>
    <row r="9" spans="1:7" ht="14.5">
      <c r="A9" s="181">
        <v>45670</v>
      </c>
      <c r="B9" s="182">
        <v>45670</v>
      </c>
      <c r="C9" s="175" t="s">
        <v>37</v>
      </c>
      <c r="D9" s="179" t="s">
        <v>38</v>
      </c>
      <c r="E9" s="195">
        <v>300000</v>
      </c>
      <c r="F9" s="184" t="s">
        <v>24</v>
      </c>
      <c r="G9" s="185" t="s">
        <v>25</v>
      </c>
    </row>
    <row r="10" spans="1:7" ht="14.5">
      <c r="A10" s="181">
        <v>45671</v>
      </c>
      <c r="B10" s="182">
        <v>45671</v>
      </c>
      <c r="C10" s="175" t="s">
        <v>39</v>
      </c>
      <c r="D10" s="175" t="s">
        <v>40</v>
      </c>
      <c r="E10" s="195">
        <v>4265000</v>
      </c>
      <c r="F10" s="184" t="s">
        <v>41</v>
      </c>
      <c r="G10" s="185" t="s">
        <v>25</v>
      </c>
    </row>
    <row r="11" spans="1:7" ht="14.5">
      <c r="A11" s="181">
        <v>45677</v>
      </c>
      <c r="B11" s="137">
        <v>45677</v>
      </c>
      <c r="C11" s="178" t="s">
        <v>42</v>
      </c>
      <c r="D11" s="175" t="s">
        <v>43</v>
      </c>
      <c r="E11" s="195">
        <v>69000</v>
      </c>
      <c r="F11" s="179" t="s">
        <v>30</v>
      </c>
      <c r="G11" s="185" t="s">
        <v>31</v>
      </c>
    </row>
    <row r="12" spans="1:7" ht="14.5">
      <c r="A12" s="181">
        <v>45678</v>
      </c>
      <c r="B12" s="182">
        <v>45678</v>
      </c>
      <c r="C12" s="178" t="s">
        <v>44</v>
      </c>
      <c r="D12" s="175" t="s">
        <v>45</v>
      </c>
      <c r="E12" s="195">
        <v>720000</v>
      </c>
      <c r="F12" s="179" t="s">
        <v>24</v>
      </c>
      <c r="G12" s="185" t="s">
        <v>25</v>
      </c>
    </row>
    <row r="13" spans="1:7" ht="14.5">
      <c r="A13" s="181">
        <v>45678</v>
      </c>
      <c r="B13" s="182">
        <v>45678</v>
      </c>
      <c r="C13" s="175" t="s">
        <v>46</v>
      </c>
      <c r="D13" s="175" t="s">
        <v>47</v>
      </c>
      <c r="E13" s="195">
        <v>661180</v>
      </c>
      <c r="F13" s="179" t="s">
        <v>24</v>
      </c>
      <c r="G13" s="185" t="s">
        <v>25</v>
      </c>
    </row>
    <row r="14" spans="1:7" ht="14.5">
      <c r="A14" s="181">
        <v>45680</v>
      </c>
      <c r="B14" s="182">
        <v>45680</v>
      </c>
      <c r="C14" s="187" t="s">
        <v>48</v>
      </c>
      <c r="D14" s="187" t="s">
        <v>49</v>
      </c>
      <c r="E14" s="195">
        <v>1613940</v>
      </c>
      <c r="F14" s="179" t="s">
        <v>24</v>
      </c>
      <c r="G14" s="185" t="s">
        <v>25</v>
      </c>
    </row>
    <row r="15" spans="1:7" ht="14.5">
      <c r="A15" s="181">
        <v>45680</v>
      </c>
      <c r="B15" s="182">
        <v>45680</v>
      </c>
      <c r="C15" s="187" t="s">
        <v>50</v>
      </c>
      <c r="D15" s="187" t="s">
        <v>51</v>
      </c>
      <c r="E15" s="195">
        <v>4830720</v>
      </c>
      <c r="F15" s="179" t="s">
        <v>24</v>
      </c>
      <c r="G15" s="185" t="s">
        <v>25</v>
      </c>
    </row>
    <row r="16" spans="1:7" ht="14.5">
      <c r="A16" s="181">
        <v>45680</v>
      </c>
      <c r="B16" s="182">
        <v>45680</v>
      </c>
      <c r="C16" s="187" t="s">
        <v>52</v>
      </c>
      <c r="D16" s="187" t="s">
        <v>53</v>
      </c>
      <c r="E16" s="195">
        <v>2177802</v>
      </c>
      <c r="F16" s="179" t="s">
        <v>24</v>
      </c>
      <c r="G16" s="185" t="s">
        <v>25</v>
      </c>
    </row>
    <row r="17" spans="1:7" ht="14.5">
      <c r="A17" s="181">
        <v>45680</v>
      </c>
      <c r="B17" s="182">
        <v>45680</v>
      </c>
      <c r="C17" s="187" t="s">
        <v>54</v>
      </c>
      <c r="D17" s="187" t="s">
        <v>55</v>
      </c>
      <c r="E17" s="195">
        <v>288000</v>
      </c>
      <c r="F17" s="179" t="s">
        <v>24</v>
      </c>
      <c r="G17" s="185" t="s">
        <v>25</v>
      </c>
    </row>
    <row r="18" spans="1:7" ht="14.5">
      <c r="A18" s="181">
        <v>45687</v>
      </c>
      <c r="B18" s="182">
        <v>45687</v>
      </c>
      <c r="C18" s="187" t="s">
        <v>56</v>
      </c>
      <c r="D18" s="187" t="s">
        <v>57</v>
      </c>
      <c r="E18" s="195">
        <v>877000</v>
      </c>
      <c r="F18" s="179" t="s">
        <v>24</v>
      </c>
      <c r="G18" s="185" t="s">
        <v>25</v>
      </c>
    </row>
    <row r="19" spans="1:7" ht="14.5">
      <c r="A19" s="181">
        <v>45691</v>
      </c>
      <c r="B19" s="182">
        <v>45691</v>
      </c>
      <c r="C19" s="175" t="s">
        <v>58</v>
      </c>
      <c r="D19" s="188" t="s">
        <v>59</v>
      </c>
      <c r="E19" s="197">
        <v>10000</v>
      </c>
      <c r="F19" s="179" t="s">
        <v>30</v>
      </c>
      <c r="G19" s="185" t="s">
        <v>31</v>
      </c>
    </row>
    <row r="20" spans="1:7" ht="14.5">
      <c r="A20" s="181">
        <v>45693</v>
      </c>
      <c r="B20" s="182">
        <v>45693</v>
      </c>
      <c r="C20" s="175" t="s">
        <v>60</v>
      </c>
      <c r="D20" s="175" t="s">
        <v>61</v>
      </c>
      <c r="E20" s="195">
        <v>4044002</v>
      </c>
      <c r="F20" s="179" t="s">
        <v>30</v>
      </c>
      <c r="G20" s="185" t="s">
        <v>31</v>
      </c>
    </row>
    <row r="21" spans="1:7" ht="14.5">
      <c r="A21" s="181">
        <v>45693</v>
      </c>
      <c r="B21" s="182">
        <v>45693</v>
      </c>
      <c r="C21" s="175" t="s">
        <v>62</v>
      </c>
      <c r="D21" s="175" t="s">
        <v>63</v>
      </c>
      <c r="E21" s="195">
        <f>63000*2</f>
        <v>126000</v>
      </c>
      <c r="F21" s="179" t="s">
        <v>24</v>
      </c>
      <c r="G21" s="185" t="s">
        <v>25</v>
      </c>
    </row>
    <row r="22" spans="1:7" ht="14.5">
      <c r="A22" s="181">
        <v>45693</v>
      </c>
      <c r="B22" s="182">
        <v>45693</v>
      </c>
      <c r="C22" s="175" t="s">
        <v>62</v>
      </c>
      <c r="D22" s="175" t="s">
        <v>64</v>
      </c>
      <c r="E22" s="195">
        <v>46000</v>
      </c>
      <c r="F22" s="179" t="s">
        <v>24</v>
      </c>
      <c r="G22" s="185" t="s">
        <v>25</v>
      </c>
    </row>
    <row r="23" spans="1:7" ht="14.5">
      <c r="A23" s="181">
        <v>45693</v>
      </c>
      <c r="B23" s="182">
        <v>45693</v>
      </c>
      <c r="C23" s="175" t="s">
        <v>62</v>
      </c>
      <c r="D23" s="175" t="s">
        <v>65</v>
      </c>
      <c r="E23" s="195">
        <f>10000+22500+22500</f>
        <v>55000</v>
      </c>
      <c r="F23" s="179" t="s">
        <v>30</v>
      </c>
      <c r="G23" s="185" t="s">
        <v>31</v>
      </c>
    </row>
    <row r="24" spans="1:7" ht="14.5">
      <c r="A24" s="181">
        <v>45694</v>
      </c>
      <c r="B24" s="182">
        <v>45694</v>
      </c>
      <c r="C24" s="175" t="s">
        <v>66</v>
      </c>
      <c r="D24" s="187" t="s">
        <v>67</v>
      </c>
      <c r="E24" s="195">
        <v>230041</v>
      </c>
      <c r="F24" s="179" t="s">
        <v>30</v>
      </c>
      <c r="G24" s="185" t="s">
        <v>31</v>
      </c>
    </row>
    <row r="25" spans="1:7" ht="14.5">
      <c r="A25" s="181">
        <v>45694</v>
      </c>
      <c r="B25" s="182">
        <v>45694</v>
      </c>
      <c r="C25" s="175" t="s">
        <v>66</v>
      </c>
      <c r="D25" s="187" t="s">
        <v>68</v>
      </c>
      <c r="E25" s="195">
        <v>16030</v>
      </c>
      <c r="F25" s="179" t="s">
        <v>24</v>
      </c>
      <c r="G25" s="185" t="s">
        <v>25</v>
      </c>
    </row>
    <row r="26" spans="1:7" ht="14.5">
      <c r="A26" s="181">
        <v>45694</v>
      </c>
      <c r="B26" s="182">
        <v>45694</v>
      </c>
      <c r="C26" s="175" t="s">
        <v>69</v>
      </c>
      <c r="D26" s="175" t="s">
        <v>70</v>
      </c>
      <c r="E26" s="195">
        <v>520000</v>
      </c>
      <c r="F26" s="179" t="s">
        <v>24</v>
      </c>
      <c r="G26" s="185" t="s">
        <v>25</v>
      </c>
    </row>
    <row r="27" spans="1:7" ht="14.5">
      <c r="A27" s="181">
        <v>45701</v>
      </c>
      <c r="B27" s="182">
        <v>45701</v>
      </c>
      <c r="C27" s="175"/>
      <c r="D27" s="175" t="s">
        <v>71</v>
      </c>
      <c r="E27" s="195">
        <v>877000</v>
      </c>
      <c r="F27" s="179" t="s">
        <v>24</v>
      </c>
      <c r="G27" s="185" t="s">
        <v>25</v>
      </c>
    </row>
    <row r="28" spans="1:7" ht="14.5">
      <c r="A28" s="181">
        <v>45701</v>
      </c>
      <c r="B28" s="182">
        <v>45701</v>
      </c>
      <c r="C28" s="175"/>
      <c r="D28" s="175" t="s">
        <v>72</v>
      </c>
      <c r="E28" s="195">
        <v>5106000</v>
      </c>
      <c r="F28" s="179" t="s">
        <v>41</v>
      </c>
      <c r="G28" s="185" t="s">
        <v>25</v>
      </c>
    </row>
    <row r="29" spans="1:7" ht="14.5">
      <c r="A29" s="181">
        <v>45701</v>
      </c>
      <c r="B29" s="182">
        <v>45701</v>
      </c>
      <c r="C29" s="175"/>
      <c r="D29" s="175" t="s">
        <v>73</v>
      </c>
      <c r="E29" s="195">
        <v>1045620</v>
      </c>
      <c r="F29" s="179" t="s">
        <v>41</v>
      </c>
      <c r="G29" s="185" t="s">
        <v>25</v>
      </c>
    </row>
    <row r="30" spans="1:7" ht="14.5">
      <c r="A30" s="181">
        <v>45706</v>
      </c>
      <c r="B30" s="182">
        <v>45706</v>
      </c>
      <c r="C30" s="175"/>
      <c r="D30" s="175" t="s">
        <v>74</v>
      </c>
      <c r="E30" s="195">
        <v>210000</v>
      </c>
      <c r="F30" s="179" t="s">
        <v>24</v>
      </c>
      <c r="G30" s="185" t="s">
        <v>31</v>
      </c>
    </row>
    <row r="31" spans="1:7" ht="14.5">
      <c r="A31" s="181">
        <v>45706</v>
      </c>
      <c r="B31" s="182">
        <v>45706</v>
      </c>
      <c r="C31" s="175" t="s">
        <v>75</v>
      </c>
      <c r="D31" s="175" t="s">
        <v>76</v>
      </c>
      <c r="E31" s="195">
        <v>7000</v>
      </c>
      <c r="F31" s="179" t="s">
        <v>30</v>
      </c>
      <c r="G31" s="185" t="s">
        <v>31</v>
      </c>
    </row>
    <row r="32" spans="1:7" ht="14.5">
      <c r="A32" s="181">
        <v>45706</v>
      </c>
      <c r="B32" s="182">
        <v>45706</v>
      </c>
      <c r="C32" s="175"/>
      <c r="D32" s="175" t="s">
        <v>77</v>
      </c>
      <c r="E32" s="195">
        <v>198000</v>
      </c>
      <c r="F32" s="179" t="s">
        <v>24</v>
      </c>
      <c r="G32" s="185" t="s">
        <v>31</v>
      </c>
    </row>
    <row r="33" spans="1:7" ht="14.5">
      <c r="A33" s="181">
        <v>45709</v>
      </c>
      <c r="B33" s="182">
        <v>45709</v>
      </c>
      <c r="C33" s="175"/>
      <c r="D33" s="175" t="s">
        <v>78</v>
      </c>
      <c r="E33" s="195">
        <v>1143300</v>
      </c>
      <c r="F33" s="179" t="s">
        <v>41</v>
      </c>
      <c r="G33" s="185" t="s">
        <v>31</v>
      </c>
    </row>
    <row r="34" spans="1:7" ht="14.5">
      <c r="A34" s="181">
        <v>45709</v>
      </c>
      <c r="B34" s="182">
        <v>45709</v>
      </c>
      <c r="C34" s="175"/>
      <c r="D34" s="175" t="s">
        <v>79</v>
      </c>
      <c r="E34" s="195">
        <v>2177802</v>
      </c>
      <c r="F34" s="179" t="s">
        <v>24</v>
      </c>
      <c r="G34" s="185" t="s">
        <v>25</v>
      </c>
    </row>
    <row r="35" spans="1:7" ht="14.5">
      <c r="A35" s="181">
        <v>45712</v>
      </c>
      <c r="B35" s="182">
        <v>45712</v>
      </c>
      <c r="C35" s="175" t="s">
        <v>80</v>
      </c>
      <c r="D35" s="179" t="s">
        <v>81</v>
      </c>
      <c r="E35" s="195">
        <v>2000000</v>
      </c>
      <c r="F35" s="179" t="s">
        <v>30</v>
      </c>
      <c r="G35" s="185" t="s">
        <v>31</v>
      </c>
    </row>
    <row r="36" spans="1:7" ht="14.5">
      <c r="A36" s="181">
        <v>45713</v>
      </c>
      <c r="B36" s="182">
        <v>45713</v>
      </c>
      <c r="C36" s="175" t="s">
        <v>82</v>
      </c>
      <c r="D36" s="189" t="s">
        <v>83</v>
      </c>
      <c r="E36" s="195">
        <v>22500</v>
      </c>
      <c r="F36" s="184" t="s">
        <v>30</v>
      </c>
      <c r="G36" s="185" t="s">
        <v>31</v>
      </c>
    </row>
    <row r="37" spans="1:7" ht="14.5">
      <c r="A37" s="181">
        <v>45713</v>
      </c>
      <c r="B37" s="182">
        <v>45713</v>
      </c>
      <c r="C37" s="175"/>
      <c r="D37" s="179" t="s">
        <v>84</v>
      </c>
      <c r="E37" s="195">
        <v>26000</v>
      </c>
      <c r="F37" s="184" t="s">
        <v>41</v>
      </c>
      <c r="G37" s="185" t="s">
        <v>25</v>
      </c>
    </row>
    <row r="38" spans="1:7" ht="14.5">
      <c r="A38" s="181">
        <v>45713</v>
      </c>
      <c r="B38" s="182">
        <v>45713</v>
      </c>
      <c r="C38" s="175" t="s">
        <v>82</v>
      </c>
      <c r="D38" s="179" t="s">
        <v>83</v>
      </c>
      <c r="E38" s="195">
        <v>156840</v>
      </c>
      <c r="F38" s="184" t="s">
        <v>30</v>
      </c>
      <c r="G38" s="185" t="s">
        <v>31</v>
      </c>
    </row>
    <row r="39" spans="1:7" ht="14.5">
      <c r="A39" s="181">
        <v>45713</v>
      </c>
      <c r="B39" s="182">
        <v>45713</v>
      </c>
      <c r="C39" s="175" t="s">
        <v>82</v>
      </c>
      <c r="D39" s="189" t="s">
        <v>85</v>
      </c>
      <c r="E39" s="195">
        <v>22000</v>
      </c>
      <c r="F39" s="184" t="s">
        <v>30</v>
      </c>
      <c r="G39" s="185" t="s">
        <v>31</v>
      </c>
    </row>
    <row r="40" spans="1:7" ht="14.5">
      <c r="A40" s="181">
        <v>45716</v>
      </c>
      <c r="B40" s="182">
        <v>45716</v>
      </c>
      <c r="C40" s="175"/>
      <c r="D40" s="175" t="s">
        <v>86</v>
      </c>
      <c r="E40" s="195">
        <v>577000</v>
      </c>
      <c r="F40" s="179" t="s">
        <v>24</v>
      </c>
      <c r="G40" s="185" t="s">
        <v>25</v>
      </c>
    </row>
    <row r="41" spans="1:7" ht="14.5">
      <c r="A41" s="181">
        <v>45722</v>
      </c>
      <c r="B41" s="182">
        <v>45722</v>
      </c>
      <c r="C41" s="175"/>
      <c r="D41" s="175" t="s">
        <v>87</v>
      </c>
      <c r="E41" s="195">
        <v>937000</v>
      </c>
      <c r="F41" s="179" t="s">
        <v>24</v>
      </c>
      <c r="G41" s="185" t="s">
        <v>25</v>
      </c>
    </row>
    <row r="42" spans="1:7" ht="29">
      <c r="A42" s="181">
        <v>45722</v>
      </c>
      <c r="B42" s="182">
        <v>45722</v>
      </c>
      <c r="C42" s="175" t="s">
        <v>88</v>
      </c>
      <c r="D42" s="178" t="s">
        <v>89</v>
      </c>
      <c r="E42" s="180">
        <v>9325665</v>
      </c>
      <c r="F42" s="184" t="s">
        <v>30</v>
      </c>
      <c r="G42" s="185" t="s">
        <v>31</v>
      </c>
    </row>
    <row r="43" spans="1:7" ht="14.5">
      <c r="A43" s="181">
        <v>45722</v>
      </c>
      <c r="B43" s="182">
        <v>45722</v>
      </c>
      <c r="C43" s="175" t="s">
        <v>90</v>
      </c>
      <c r="D43" s="175" t="s">
        <v>91</v>
      </c>
      <c r="E43" s="195">
        <v>10000</v>
      </c>
      <c r="F43" s="179" t="s">
        <v>30</v>
      </c>
      <c r="G43" s="185" t="s">
        <v>31</v>
      </c>
    </row>
    <row r="44" spans="1:7" ht="14.5">
      <c r="A44" s="181">
        <v>45726</v>
      </c>
      <c r="B44" s="182">
        <v>45726</v>
      </c>
      <c r="C44" s="175"/>
      <c r="D44" s="178" t="s">
        <v>92</v>
      </c>
      <c r="E44" s="198">
        <v>84000</v>
      </c>
      <c r="F44" s="184" t="s">
        <v>24</v>
      </c>
      <c r="G44" s="185" t="s">
        <v>25</v>
      </c>
    </row>
    <row r="45" spans="1:7" ht="14.5">
      <c r="A45" s="181">
        <v>45726</v>
      </c>
      <c r="B45" s="182">
        <v>45726</v>
      </c>
      <c r="C45" s="175"/>
      <c r="D45" s="178" t="s">
        <v>93</v>
      </c>
      <c r="E45" s="198">
        <v>27000</v>
      </c>
      <c r="F45" s="184" t="s">
        <v>24</v>
      </c>
      <c r="G45" s="185" t="s">
        <v>25</v>
      </c>
    </row>
    <row r="46" spans="1:7" ht="14.5">
      <c r="A46" s="181">
        <v>45726</v>
      </c>
      <c r="B46" s="182">
        <v>45726</v>
      </c>
      <c r="C46" s="175" t="s">
        <v>94</v>
      </c>
      <c r="D46" s="178" t="s">
        <v>95</v>
      </c>
      <c r="E46" s="198">
        <v>57500</v>
      </c>
      <c r="F46" s="179" t="s">
        <v>30</v>
      </c>
      <c r="G46" s="185" t="s">
        <v>31</v>
      </c>
    </row>
    <row r="47" spans="1:7" ht="29">
      <c r="A47" s="181">
        <v>45726</v>
      </c>
      <c r="B47" s="182">
        <v>45726</v>
      </c>
      <c r="C47" s="175"/>
      <c r="D47" s="178" t="s">
        <v>96</v>
      </c>
      <c r="E47" s="198">
        <v>35880</v>
      </c>
      <c r="F47" s="184" t="s">
        <v>24</v>
      </c>
      <c r="G47" s="185" t="s">
        <v>25</v>
      </c>
    </row>
    <row r="48" spans="1:7" ht="14.5">
      <c r="A48" s="181">
        <v>45726</v>
      </c>
      <c r="B48" s="182">
        <v>45726</v>
      </c>
      <c r="C48" s="175"/>
      <c r="D48" s="178" t="s">
        <v>97</v>
      </c>
      <c r="E48" s="198">
        <v>27700</v>
      </c>
      <c r="F48" s="184" t="s">
        <v>24</v>
      </c>
      <c r="G48" s="185" t="s">
        <v>25</v>
      </c>
    </row>
    <row r="49" spans="1:7" ht="29">
      <c r="A49" s="181">
        <v>45726</v>
      </c>
      <c r="B49" s="182">
        <v>45726</v>
      </c>
      <c r="C49" s="175"/>
      <c r="D49" s="178" t="s">
        <v>98</v>
      </c>
      <c r="E49" s="198">
        <v>66900</v>
      </c>
      <c r="F49" s="184" t="s">
        <v>24</v>
      </c>
      <c r="G49" s="185" t="s">
        <v>25</v>
      </c>
    </row>
    <row r="50" spans="1:7" ht="14.5">
      <c r="A50" s="181">
        <v>45726</v>
      </c>
      <c r="B50" s="182">
        <v>45726</v>
      </c>
      <c r="C50" s="175"/>
      <c r="D50" s="178" t="s">
        <v>92</v>
      </c>
      <c r="E50" s="198">
        <v>76000</v>
      </c>
      <c r="F50" s="184" t="s">
        <v>24</v>
      </c>
      <c r="G50" s="185" t="s">
        <v>25</v>
      </c>
    </row>
    <row r="51" spans="1:7" ht="14.5">
      <c r="A51" s="181">
        <v>45726</v>
      </c>
      <c r="B51" s="182">
        <v>45726</v>
      </c>
      <c r="C51" s="175"/>
      <c r="D51" s="178" t="s">
        <v>99</v>
      </c>
      <c r="E51" s="198">
        <v>39400</v>
      </c>
      <c r="F51" s="184" t="s">
        <v>24</v>
      </c>
      <c r="G51" s="185" t="s">
        <v>25</v>
      </c>
    </row>
    <row r="52" spans="1:7" ht="14.5">
      <c r="A52" s="181">
        <v>45726</v>
      </c>
      <c r="B52" s="182">
        <v>45726</v>
      </c>
      <c r="C52" s="175" t="s">
        <v>94</v>
      </c>
      <c r="D52" s="178" t="s">
        <v>100</v>
      </c>
      <c r="E52" s="198">
        <v>25000</v>
      </c>
      <c r="F52" s="179" t="s">
        <v>30</v>
      </c>
      <c r="G52" s="185" t="s">
        <v>31</v>
      </c>
    </row>
    <row r="53" spans="1:7" ht="14.5">
      <c r="A53" s="181">
        <v>45726</v>
      </c>
      <c r="B53" s="182">
        <v>45726</v>
      </c>
      <c r="C53" s="175"/>
      <c r="D53" s="178" t="s">
        <v>101</v>
      </c>
      <c r="E53" s="198">
        <v>15000</v>
      </c>
      <c r="F53" s="184" t="s">
        <v>24</v>
      </c>
      <c r="G53" s="185" t="s">
        <v>25</v>
      </c>
    </row>
    <row r="54" spans="1:7" ht="14.5">
      <c r="A54" s="181">
        <v>45726</v>
      </c>
      <c r="B54" s="182">
        <v>45726</v>
      </c>
      <c r="C54" s="175"/>
      <c r="D54" s="178" t="s">
        <v>102</v>
      </c>
      <c r="E54" s="198">
        <v>188480</v>
      </c>
      <c r="F54" s="184" t="s">
        <v>41</v>
      </c>
      <c r="G54" s="185" t="s">
        <v>25</v>
      </c>
    </row>
    <row r="55" spans="1:7" ht="14.5">
      <c r="A55" s="181">
        <v>45726</v>
      </c>
      <c r="B55" s="182">
        <v>45726</v>
      </c>
      <c r="C55" s="175" t="s">
        <v>94</v>
      </c>
      <c r="D55" s="175" t="s">
        <v>103</v>
      </c>
      <c r="E55" s="198">
        <v>57500</v>
      </c>
      <c r="F55" s="179" t="s">
        <v>30</v>
      </c>
      <c r="G55" s="185" t="s">
        <v>31</v>
      </c>
    </row>
    <row r="56" spans="1:7" ht="14.5">
      <c r="A56" s="181">
        <v>45726</v>
      </c>
      <c r="B56" s="182">
        <v>45726</v>
      </c>
      <c r="C56" s="175"/>
      <c r="D56" s="175" t="s">
        <v>104</v>
      </c>
      <c r="E56" s="198">
        <v>29442</v>
      </c>
      <c r="F56" s="184" t="s">
        <v>105</v>
      </c>
      <c r="G56" s="185" t="s">
        <v>25</v>
      </c>
    </row>
    <row r="57" spans="1:7" ht="14.5">
      <c r="A57" s="181">
        <v>45726</v>
      </c>
      <c r="B57" s="182">
        <v>45726</v>
      </c>
      <c r="C57" s="175" t="s">
        <v>94</v>
      </c>
      <c r="D57" s="175" t="s">
        <v>106</v>
      </c>
      <c r="E57" s="198">
        <v>12000</v>
      </c>
      <c r="F57" s="179" t="s">
        <v>30</v>
      </c>
      <c r="G57" s="185" t="s">
        <v>31</v>
      </c>
    </row>
    <row r="58" spans="1:7" ht="14.5">
      <c r="A58" s="181">
        <v>45726</v>
      </c>
      <c r="B58" s="182">
        <v>45726</v>
      </c>
      <c r="C58" s="175" t="s">
        <v>94</v>
      </c>
      <c r="D58" s="190" t="s">
        <v>107</v>
      </c>
      <c r="E58" s="198">
        <v>384640</v>
      </c>
      <c r="F58" s="179" t="s">
        <v>30</v>
      </c>
      <c r="G58" s="185" t="s">
        <v>31</v>
      </c>
    </row>
    <row r="59" spans="1:7" ht="14.5">
      <c r="A59" s="181">
        <v>45729</v>
      </c>
      <c r="B59" s="182">
        <v>45729</v>
      </c>
      <c r="C59" s="175" t="s">
        <v>108</v>
      </c>
      <c r="D59" s="175" t="s">
        <v>109</v>
      </c>
      <c r="E59" s="195">
        <v>2775000</v>
      </c>
      <c r="F59" s="179" t="s">
        <v>30</v>
      </c>
      <c r="G59" s="185" t="s">
        <v>31</v>
      </c>
    </row>
    <row r="60" spans="1:7" ht="14.5">
      <c r="A60" s="181">
        <v>45734</v>
      </c>
      <c r="B60" s="182">
        <v>45734</v>
      </c>
      <c r="C60" s="175" t="s">
        <v>110</v>
      </c>
      <c r="D60" s="175" t="s">
        <v>111</v>
      </c>
      <c r="E60" s="195">
        <v>329670</v>
      </c>
      <c r="F60" s="179" t="s">
        <v>30</v>
      </c>
      <c r="G60" s="185" t="s">
        <v>31</v>
      </c>
    </row>
    <row r="61" spans="1:7" ht="29">
      <c r="A61" s="181">
        <v>45734</v>
      </c>
      <c r="B61" s="182">
        <v>45734</v>
      </c>
      <c r="C61" s="175" t="s">
        <v>112</v>
      </c>
      <c r="D61" s="178" t="s">
        <v>113</v>
      </c>
      <c r="E61" s="180">
        <v>4937835</v>
      </c>
      <c r="F61" s="179" t="s">
        <v>30</v>
      </c>
      <c r="G61" s="185" t="s">
        <v>31</v>
      </c>
    </row>
    <row r="62" spans="1:7" ht="14.5">
      <c r="A62" s="181">
        <v>45736</v>
      </c>
      <c r="B62" s="182">
        <v>45736</v>
      </c>
      <c r="C62" s="175"/>
      <c r="D62" s="175" t="s">
        <v>114</v>
      </c>
      <c r="E62" s="195">
        <v>1031000</v>
      </c>
      <c r="F62" s="179" t="s">
        <v>24</v>
      </c>
      <c r="G62" s="185" t="s">
        <v>25</v>
      </c>
    </row>
    <row r="63" spans="1:7" ht="14.5">
      <c r="A63" s="181">
        <v>45737</v>
      </c>
      <c r="B63" s="182">
        <v>45737</v>
      </c>
      <c r="C63" s="175" t="s">
        <v>115</v>
      </c>
      <c r="D63" s="175" t="s">
        <v>116</v>
      </c>
      <c r="E63" s="195">
        <v>2713950</v>
      </c>
      <c r="F63" s="179" t="s">
        <v>30</v>
      </c>
      <c r="G63" s="185" t="s">
        <v>31</v>
      </c>
    </row>
    <row r="64" spans="1:7" ht="14.5">
      <c r="A64" s="181">
        <v>45742</v>
      </c>
      <c r="B64" s="182">
        <v>45742</v>
      </c>
      <c r="C64" s="175"/>
      <c r="D64" s="175" t="s">
        <v>117</v>
      </c>
      <c r="E64" s="195">
        <v>2177802</v>
      </c>
      <c r="F64" s="179" t="s">
        <v>24</v>
      </c>
      <c r="G64" s="185" t="s">
        <v>25</v>
      </c>
    </row>
    <row r="65" spans="1:7" ht="14.5">
      <c r="A65" s="181">
        <v>45743</v>
      </c>
      <c r="B65" s="182">
        <v>45743</v>
      </c>
      <c r="C65" s="175" t="s">
        <v>118</v>
      </c>
      <c r="D65" s="175" t="s">
        <v>119</v>
      </c>
      <c r="E65" s="195">
        <v>10000</v>
      </c>
      <c r="F65" s="179" t="s">
        <v>30</v>
      </c>
      <c r="G65" s="185" t="s">
        <v>31</v>
      </c>
    </row>
    <row r="66" spans="1:7" ht="14.5">
      <c r="A66" s="181">
        <v>45743</v>
      </c>
      <c r="B66" s="182">
        <v>45743</v>
      </c>
      <c r="C66" s="175" t="s">
        <v>120</v>
      </c>
      <c r="D66" s="175" t="s">
        <v>121</v>
      </c>
      <c r="E66" s="195">
        <v>105000</v>
      </c>
      <c r="F66" s="179" t="s">
        <v>30</v>
      </c>
      <c r="G66" s="185" t="s">
        <v>31</v>
      </c>
    </row>
    <row r="67" spans="1:7" ht="14.5">
      <c r="A67" s="181">
        <v>45743</v>
      </c>
      <c r="B67" s="182">
        <v>45743</v>
      </c>
      <c r="C67" s="175"/>
      <c r="D67" s="175" t="s">
        <v>122</v>
      </c>
      <c r="E67" s="195">
        <v>16000</v>
      </c>
      <c r="F67" s="179" t="s">
        <v>41</v>
      </c>
      <c r="G67" s="185" t="s">
        <v>25</v>
      </c>
    </row>
    <row r="68" spans="1:7" ht="14.5">
      <c r="A68" s="181">
        <v>45743</v>
      </c>
      <c r="B68" s="182">
        <v>45743</v>
      </c>
      <c r="C68" s="175" t="s">
        <v>120</v>
      </c>
      <c r="D68" s="175" t="s">
        <v>123</v>
      </c>
      <c r="E68" s="195">
        <v>115042</v>
      </c>
      <c r="F68" s="179" t="s">
        <v>30</v>
      </c>
      <c r="G68" s="185" t="s">
        <v>31</v>
      </c>
    </row>
    <row r="69" spans="1:7" ht="14.5">
      <c r="A69" s="181">
        <v>45743</v>
      </c>
      <c r="B69" s="182">
        <v>45743</v>
      </c>
      <c r="C69" s="175" t="s">
        <v>120</v>
      </c>
      <c r="D69" s="175" t="s">
        <v>124</v>
      </c>
      <c r="E69" s="195">
        <v>35000</v>
      </c>
      <c r="F69" s="179" t="s">
        <v>30</v>
      </c>
      <c r="G69" s="185" t="s">
        <v>31</v>
      </c>
    </row>
    <row r="70" spans="1:7" ht="14.5">
      <c r="A70" s="181">
        <v>45743</v>
      </c>
      <c r="B70" s="182">
        <v>45743</v>
      </c>
      <c r="C70" s="175" t="s">
        <v>120</v>
      </c>
      <c r="D70" s="175" t="s">
        <v>125</v>
      </c>
      <c r="E70" s="195">
        <v>300000</v>
      </c>
      <c r="F70" s="179" t="s">
        <v>30</v>
      </c>
      <c r="G70" s="185" t="s">
        <v>31</v>
      </c>
    </row>
    <row r="71" spans="1:7" ht="14.5">
      <c r="A71" s="181">
        <v>45743</v>
      </c>
      <c r="B71" s="182">
        <v>45743</v>
      </c>
      <c r="C71" s="175"/>
      <c r="D71" s="175" t="s">
        <v>126</v>
      </c>
      <c r="E71" s="195">
        <v>10000</v>
      </c>
      <c r="F71" s="179" t="s">
        <v>41</v>
      </c>
      <c r="G71" s="185" t="s">
        <v>25</v>
      </c>
    </row>
    <row r="72" spans="1:7" ht="14.5">
      <c r="A72" s="181">
        <v>45743</v>
      </c>
      <c r="B72" s="182">
        <v>45743</v>
      </c>
      <c r="C72" s="175" t="s">
        <v>120</v>
      </c>
      <c r="D72" s="175" t="s">
        <v>124</v>
      </c>
      <c r="E72" s="195">
        <v>35000</v>
      </c>
      <c r="F72" s="179" t="s">
        <v>30</v>
      </c>
      <c r="G72" s="185" t="s">
        <v>31</v>
      </c>
    </row>
    <row r="73" spans="1:7" ht="14.5">
      <c r="A73" s="181">
        <v>45743</v>
      </c>
      <c r="B73" s="182">
        <v>45743</v>
      </c>
      <c r="C73" s="175" t="s">
        <v>120</v>
      </c>
      <c r="D73" s="175" t="s">
        <v>127</v>
      </c>
      <c r="E73" s="195">
        <v>452654</v>
      </c>
      <c r="F73" s="179" t="s">
        <v>30</v>
      </c>
      <c r="G73" s="185" t="s">
        <v>31</v>
      </c>
    </row>
    <row r="74" spans="1:7" ht="14.5">
      <c r="A74" s="181">
        <v>45743</v>
      </c>
      <c r="B74" s="182">
        <v>45743</v>
      </c>
      <c r="C74" s="175" t="s">
        <v>120</v>
      </c>
      <c r="D74" s="175" t="s">
        <v>128</v>
      </c>
      <c r="E74" s="195">
        <v>90000</v>
      </c>
      <c r="F74" s="179" t="s">
        <v>30</v>
      </c>
      <c r="G74" s="185" t="s">
        <v>31</v>
      </c>
    </row>
    <row r="75" spans="1:7" ht="17">
      <c r="A75" s="181">
        <v>45743</v>
      </c>
      <c r="B75" s="182">
        <v>45743</v>
      </c>
      <c r="C75" s="174"/>
      <c r="D75" s="175" t="s">
        <v>129</v>
      </c>
      <c r="E75" s="195">
        <v>36400</v>
      </c>
      <c r="F75" s="179" t="s">
        <v>41</v>
      </c>
      <c r="G75" s="185" t="s">
        <v>25</v>
      </c>
    </row>
    <row r="76" spans="1:7" ht="17">
      <c r="A76" s="181">
        <v>45763</v>
      </c>
      <c r="B76" s="182">
        <v>45763</v>
      </c>
      <c r="C76" s="174"/>
      <c r="D76" s="175" t="s">
        <v>130</v>
      </c>
      <c r="E76" s="195">
        <v>800000</v>
      </c>
      <c r="F76" s="179" t="s">
        <v>24</v>
      </c>
      <c r="G76" s="185" t="s">
        <v>25</v>
      </c>
    </row>
    <row r="77" spans="1:7" ht="14.5">
      <c r="A77" s="62"/>
      <c r="B77" s="63"/>
      <c r="C77" s="64"/>
      <c r="D77" s="64"/>
      <c r="E77" s="65"/>
      <c r="F77" s="66"/>
      <c r="G77" s="67"/>
    </row>
    <row r="78" spans="1:7" ht="14.5">
      <c r="A78" s="62"/>
      <c r="B78" s="63"/>
      <c r="C78" s="64"/>
      <c r="D78" s="64"/>
      <c r="E78" s="65"/>
      <c r="F78" s="66"/>
      <c r="G78" s="67"/>
    </row>
    <row r="79" spans="1:7" ht="14.5">
      <c r="A79" s="62"/>
      <c r="B79" s="63"/>
      <c r="C79" s="64"/>
      <c r="D79" s="64"/>
      <c r="E79" s="65"/>
      <c r="F79" s="66"/>
      <c r="G79" s="67"/>
    </row>
    <row r="80" spans="1:7" ht="14.5">
      <c r="A80" s="62"/>
      <c r="B80" s="63"/>
      <c r="C80" s="64"/>
      <c r="D80" s="64"/>
      <c r="E80" s="65"/>
      <c r="F80" s="66"/>
      <c r="G80" s="67"/>
    </row>
    <row r="81" spans="1:7" ht="14.5">
      <c r="A81" s="62"/>
      <c r="B81" s="63"/>
      <c r="C81" s="64"/>
      <c r="D81" s="64"/>
      <c r="E81" s="65"/>
      <c r="F81" s="66"/>
      <c r="G81" s="67"/>
    </row>
    <row r="82" spans="1:7" ht="14.5">
      <c r="A82" s="62"/>
      <c r="B82" s="63"/>
      <c r="C82" s="64"/>
      <c r="D82" s="64"/>
      <c r="E82" s="65"/>
      <c r="F82" s="66"/>
      <c r="G82" s="67"/>
    </row>
    <row r="83" spans="1:7" ht="14.5">
      <c r="A83" s="62"/>
      <c r="B83" s="63"/>
      <c r="C83" s="64"/>
      <c r="D83" s="64"/>
      <c r="E83" s="65"/>
      <c r="F83" s="66"/>
      <c r="G83" s="67"/>
    </row>
    <row r="84" spans="1:7" ht="14.5">
      <c r="A84" s="62"/>
      <c r="B84" s="63"/>
      <c r="C84" s="64"/>
      <c r="D84" s="64"/>
      <c r="E84" s="65"/>
      <c r="F84" s="66"/>
      <c r="G84" s="67"/>
    </row>
    <row r="85" spans="1:7" ht="14.5">
      <c r="A85" s="62"/>
      <c r="B85" s="63"/>
      <c r="C85" s="64"/>
      <c r="D85" s="64"/>
      <c r="E85" s="65"/>
      <c r="F85" s="66"/>
      <c r="G85" s="67"/>
    </row>
    <row r="86" spans="1:7" ht="14.5">
      <c r="A86" s="62"/>
      <c r="B86" s="63"/>
      <c r="C86" s="64"/>
      <c r="D86" s="64"/>
      <c r="E86" s="65"/>
      <c r="F86" s="66"/>
      <c r="G86" s="67"/>
    </row>
    <row r="87" spans="1:7" ht="14.5">
      <c r="A87" s="62"/>
      <c r="B87" s="63"/>
      <c r="C87" s="64"/>
      <c r="D87" s="64"/>
      <c r="E87" s="65"/>
      <c r="F87" s="66"/>
      <c r="G87" s="67"/>
    </row>
    <row r="88" spans="1:7" ht="14.5">
      <c r="A88" s="62"/>
      <c r="B88" s="63"/>
      <c r="C88" s="64"/>
      <c r="D88" s="64"/>
      <c r="E88" s="65"/>
      <c r="F88" s="66"/>
      <c r="G88" s="67"/>
    </row>
    <row r="89" spans="1:7" ht="14.5">
      <c r="A89" s="62"/>
      <c r="B89" s="63"/>
      <c r="C89" s="64"/>
      <c r="D89" s="64"/>
      <c r="E89" s="65"/>
      <c r="F89" s="66"/>
      <c r="G89" s="67"/>
    </row>
    <row r="90" spans="1:7" ht="14.5">
      <c r="A90" s="62"/>
      <c r="B90" s="63"/>
      <c r="C90" s="64"/>
      <c r="D90" s="64"/>
      <c r="E90" s="65"/>
      <c r="F90" s="66"/>
      <c r="G90" s="67"/>
    </row>
    <row r="91" spans="1:7" ht="14.5">
      <c r="A91" s="62"/>
      <c r="B91" s="63"/>
      <c r="C91" s="64"/>
      <c r="D91" s="64"/>
      <c r="E91" s="65"/>
      <c r="F91" s="66"/>
      <c r="G91" s="67"/>
    </row>
    <row r="92" spans="1:7" ht="14.5">
      <c r="A92" s="62"/>
      <c r="B92" s="63"/>
      <c r="C92" s="64"/>
      <c r="D92" s="64"/>
      <c r="E92" s="65"/>
      <c r="F92" s="66"/>
      <c r="G92" s="67"/>
    </row>
    <row r="93" spans="1:7" ht="14.5">
      <c r="A93" s="62"/>
      <c r="B93" s="63"/>
      <c r="C93" s="64"/>
      <c r="D93" s="64"/>
      <c r="E93" s="65"/>
      <c r="F93" s="66"/>
      <c r="G93" s="67"/>
    </row>
    <row r="94" spans="1:7" ht="14.5">
      <c r="A94" s="62"/>
      <c r="B94" s="63"/>
      <c r="C94" s="64"/>
      <c r="D94" s="64"/>
      <c r="E94" s="65"/>
      <c r="F94" s="66"/>
      <c r="G94" s="67"/>
    </row>
    <row r="95" spans="1:7" ht="14.5">
      <c r="A95" s="62"/>
      <c r="B95" s="63"/>
      <c r="C95" s="64"/>
      <c r="D95" s="64"/>
      <c r="E95" s="65"/>
      <c r="F95" s="66"/>
      <c r="G95" s="67"/>
    </row>
    <row r="96" spans="1:7" ht="14.5">
      <c r="A96" s="62"/>
      <c r="B96" s="63"/>
      <c r="C96" s="64"/>
      <c r="D96" s="64"/>
      <c r="E96" s="65"/>
      <c r="F96" s="66"/>
      <c r="G96" s="67"/>
    </row>
    <row r="97" spans="1:7" ht="14.5">
      <c r="A97" s="62"/>
      <c r="B97" s="63"/>
      <c r="C97" s="64"/>
      <c r="D97" s="64"/>
      <c r="E97" s="65"/>
      <c r="F97" s="66"/>
      <c r="G97" s="67"/>
    </row>
    <row r="98" spans="1:7" ht="14.5">
      <c r="A98" s="62"/>
      <c r="B98" s="63"/>
      <c r="C98" s="64"/>
      <c r="D98" s="64"/>
      <c r="E98" s="65"/>
      <c r="F98" s="66"/>
      <c r="G98" s="67"/>
    </row>
    <row r="99" spans="1:7" ht="14.5">
      <c r="A99" s="62"/>
      <c r="B99" s="63"/>
      <c r="C99" s="64"/>
      <c r="D99" s="64"/>
      <c r="E99" s="65"/>
      <c r="F99" s="66"/>
      <c r="G99" s="67"/>
    </row>
    <row r="100" spans="1:7" ht="14.5">
      <c r="A100" s="62"/>
      <c r="B100" s="63"/>
      <c r="C100" s="64"/>
      <c r="D100" s="64"/>
      <c r="E100" s="65"/>
      <c r="F100" s="66"/>
      <c r="G100" s="67"/>
    </row>
    <row r="101" spans="1:7" ht="14.5">
      <c r="A101" s="62"/>
      <c r="B101" s="63"/>
      <c r="C101" s="64"/>
      <c r="D101" s="64"/>
      <c r="E101" s="65"/>
      <c r="F101" s="66"/>
      <c r="G101" s="67"/>
    </row>
    <row r="102" spans="1:7" ht="14.5">
      <c r="A102" s="62"/>
      <c r="B102" s="63"/>
      <c r="C102" s="64"/>
      <c r="D102" s="64"/>
      <c r="E102" s="65"/>
      <c r="F102" s="66"/>
      <c r="G102" s="67"/>
    </row>
    <row r="103" spans="1:7" ht="14.5">
      <c r="A103" s="62"/>
      <c r="B103" s="63"/>
      <c r="C103" s="64"/>
      <c r="D103" s="64"/>
      <c r="E103" s="65"/>
      <c r="F103" s="66"/>
      <c r="G103" s="67"/>
    </row>
    <row r="104" spans="1:7" ht="14.5">
      <c r="A104" s="62"/>
      <c r="B104" s="63"/>
      <c r="C104" s="64"/>
      <c r="D104" s="64"/>
      <c r="E104" s="65"/>
      <c r="F104" s="66"/>
      <c r="G104" s="67"/>
    </row>
    <row r="105" spans="1:7" ht="14.5">
      <c r="A105" s="62"/>
      <c r="B105" s="63"/>
      <c r="C105" s="64"/>
      <c r="D105" s="64"/>
      <c r="E105" s="65"/>
      <c r="F105" s="66"/>
      <c r="G105" s="67"/>
    </row>
    <row r="106" spans="1:7" ht="14.5">
      <c r="A106" s="62"/>
      <c r="B106" s="63"/>
      <c r="C106" s="64"/>
      <c r="D106" s="64"/>
      <c r="E106" s="65"/>
      <c r="F106" s="66"/>
      <c r="G106" s="67"/>
    </row>
    <row r="107" spans="1:7" ht="14.5">
      <c r="A107" s="62"/>
      <c r="B107" s="63"/>
      <c r="C107" s="64"/>
      <c r="D107" s="64"/>
      <c r="E107" s="65"/>
      <c r="F107" s="66"/>
      <c r="G107" s="67"/>
    </row>
    <row r="108" spans="1:7" ht="14.5">
      <c r="A108" s="62"/>
      <c r="B108" s="63"/>
      <c r="C108" s="64"/>
      <c r="D108" s="64"/>
      <c r="E108" s="65"/>
      <c r="F108" s="66"/>
      <c r="G108" s="67"/>
    </row>
    <row r="109" spans="1:7" ht="14.5">
      <c r="A109" s="62"/>
      <c r="B109" s="63"/>
      <c r="C109" s="64"/>
      <c r="D109" s="64"/>
      <c r="E109" s="65"/>
      <c r="F109" s="66"/>
      <c r="G109" s="67"/>
    </row>
    <row r="110" spans="1:7" ht="14.5">
      <c r="A110" s="62"/>
      <c r="B110" s="63"/>
      <c r="C110" s="64"/>
      <c r="D110" s="64"/>
      <c r="E110" s="65"/>
      <c r="F110" s="66"/>
      <c r="G110" s="67"/>
    </row>
    <row r="111" spans="1:7" ht="14.5">
      <c r="A111" s="62"/>
      <c r="B111" s="63"/>
      <c r="C111" s="64"/>
      <c r="D111" s="64"/>
      <c r="E111" s="65"/>
      <c r="F111" s="66"/>
      <c r="G111" s="67"/>
    </row>
    <row r="112" spans="1:7" ht="14.5">
      <c r="A112" s="62"/>
      <c r="B112" s="63"/>
      <c r="C112" s="64"/>
      <c r="D112" s="64"/>
      <c r="E112" s="65"/>
      <c r="F112" s="66"/>
      <c r="G112" s="67"/>
    </row>
    <row r="113" spans="1:7" ht="14.5">
      <c r="A113" s="62"/>
      <c r="B113" s="63"/>
      <c r="C113" s="64"/>
      <c r="D113" s="64"/>
      <c r="E113" s="65"/>
      <c r="F113" s="66"/>
      <c r="G113" s="67"/>
    </row>
    <row r="114" spans="1:7" ht="14.5">
      <c r="A114" s="62"/>
      <c r="B114" s="63"/>
      <c r="C114" s="64"/>
      <c r="D114" s="64"/>
      <c r="E114" s="65"/>
      <c r="F114" s="66"/>
      <c r="G114" s="67"/>
    </row>
    <row r="115" spans="1:7" ht="14.5">
      <c r="A115" s="62"/>
      <c r="B115" s="63"/>
      <c r="C115" s="64"/>
      <c r="D115" s="64"/>
      <c r="E115" s="65"/>
      <c r="F115" s="66"/>
      <c r="G115" s="67"/>
    </row>
    <row r="116" spans="1:7" ht="14.5">
      <c r="A116" s="62"/>
      <c r="B116" s="63"/>
      <c r="C116" s="64"/>
      <c r="D116" s="64"/>
      <c r="E116" s="65"/>
      <c r="F116" s="66"/>
      <c r="G116" s="67"/>
    </row>
    <row r="117" spans="1:7" ht="14.5">
      <c r="A117" s="62"/>
      <c r="B117" s="63"/>
      <c r="C117" s="64"/>
      <c r="D117" s="64"/>
      <c r="E117" s="65"/>
      <c r="F117" s="66"/>
      <c r="G117" s="67"/>
    </row>
    <row r="118" spans="1:7" ht="14.5">
      <c r="A118" s="62"/>
      <c r="B118" s="63"/>
      <c r="C118" s="64"/>
      <c r="D118" s="64"/>
      <c r="E118" s="65"/>
      <c r="F118" s="66"/>
      <c r="G118" s="67"/>
    </row>
    <row r="119" spans="1:7" ht="14.5">
      <c r="A119" s="62"/>
      <c r="B119" s="63"/>
      <c r="C119" s="64"/>
      <c r="D119" s="64"/>
      <c r="E119" s="65"/>
      <c r="F119" s="66"/>
      <c r="G119" s="67"/>
    </row>
    <row r="120" spans="1:7" ht="14.5">
      <c r="A120" s="62"/>
      <c r="B120" s="63"/>
      <c r="C120" s="64"/>
      <c r="D120" s="64"/>
      <c r="E120" s="65"/>
      <c r="F120" s="66"/>
      <c r="G120" s="67"/>
    </row>
    <row r="121" spans="1:7" ht="14.5">
      <c r="A121" s="62"/>
      <c r="B121" s="63"/>
      <c r="C121" s="64"/>
      <c r="D121" s="64"/>
      <c r="E121" s="65"/>
      <c r="F121" s="66"/>
      <c r="G121" s="67"/>
    </row>
    <row r="122" spans="1:7" ht="14.5">
      <c r="A122" s="62"/>
      <c r="B122" s="63"/>
      <c r="C122" s="64"/>
      <c r="D122" s="64"/>
      <c r="E122" s="65"/>
      <c r="F122" s="66"/>
      <c r="G122" s="67"/>
    </row>
    <row r="123" spans="1:7" ht="14.5">
      <c r="A123" s="62"/>
      <c r="B123" s="63"/>
      <c r="C123" s="64"/>
      <c r="D123" s="64"/>
      <c r="E123" s="65"/>
      <c r="F123" s="66"/>
      <c r="G123" s="67"/>
    </row>
    <row r="124" spans="1:7" ht="14.5">
      <c r="A124" s="62"/>
      <c r="B124" s="63"/>
      <c r="C124" s="64"/>
      <c r="D124" s="64"/>
      <c r="E124" s="65"/>
      <c r="F124" s="66"/>
      <c r="G124" s="67"/>
    </row>
    <row r="125" spans="1:7" ht="14.5">
      <c r="A125" s="62"/>
      <c r="B125" s="63"/>
      <c r="C125" s="64"/>
      <c r="D125" s="64"/>
      <c r="E125" s="65"/>
      <c r="F125" s="66"/>
      <c r="G125" s="67"/>
    </row>
    <row r="126" spans="1:7" ht="14.5">
      <c r="A126" s="62"/>
      <c r="B126" s="63"/>
      <c r="C126" s="64"/>
      <c r="D126" s="64"/>
      <c r="E126" s="65"/>
      <c r="F126" s="66"/>
      <c r="G126" s="67"/>
    </row>
    <row r="127" spans="1:7" ht="14.5">
      <c r="A127" s="62"/>
      <c r="B127" s="63"/>
      <c r="C127" s="64"/>
      <c r="D127" s="64"/>
      <c r="E127" s="65"/>
      <c r="F127" s="66"/>
      <c r="G127" s="67"/>
    </row>
    <row r="128" spans="1:7" ht="14.5">
      <c r="A128" s="62"/>
      <c r="B128" s="63"/>
      <c r="C128" s="64"/>
      <c r="D128" s="64"/>
      <c r="E128" s="65"/>
      <c r="F128" s="66"/>
      <c r="G128" s="67"/>
    </row>
    <row r="129" spans="1:7" ht="14.5">
      <c r="A129" s="62"/>
      <c r="B129" s="63"/>
      <c r="C129" s="64"/>
      <c r="D129" s="64"/>
      <c r="E129" s="65"/>
      <c r="F129" s="66"/>
      <c r="G129" s="67"/>
    </row>
    <row r="130" spans="1:7" ht="14.5">
      <c r="A130" s="62"/>
      <c r="B130" s="63"/>
      <c r="C130" s="64"/>
      <c r="D130" s="64"/>
      <c r="E130" s="65"/>
      <c r="F130" s="66"/>
      <c r="G130" s="67"/>
    </row>
    <row r="131" spans="1:7" ht="14.5">
      <c r="A131" s="62"/>
      <c r="B131" s="63"/>
      <c r="C131" s="64"/>
      <c r="D131" s="64"/>
      <c r="E131" s="65"/>
      <c r="F131" s="66"/>
      <c r="G131" s="67"/>
    </row>
    <row r="132" spans="1:7" ht="14.5">
      <c r="A132" s="62"/>
      <c r="B132" s="63"/>
      <c r="C132" s="64"/>
      <c r="D132" s="64"/>
      <c r="E132" s="65"/>
      <c r="F132" s="66"/>
      <c r="G132" s="67"/>
    </row>
    <row r="133" spans="1:7" ht="14.5">
      <c r="A133" s="62"/>
      <c r="B133" s="63"/>
      <c r="C133" s="64"/>
      <c r="D133" s="64"/>
      <c r="E133" s="65"/>
      <c r="F133" s="66"/>
      <c r="G133" s="67"/>
    </row>
    <row r="134" spans="1:7" ht="14.5">
      <c r="A134" s="62"/>
      <c r="B134" s="63"/>
      <c r="C134" s="64"/>
      <c r="D134" s="64"/>
      <c r="E134" s="65"/>
      <c r="F134" s="66"/>
      <c r="G134" s="67"/>
    </row>
    <row r="135" spans="1:7" ht="14.5">
      <c r="A135" s="62"/>
      <c r="B135" s="63"/>
      <c r="C135" s="64"/>
      <c r="D135" s="64"/>
      <c r="E135" s="65"/>
      <c r="F135" s="66"/>
      <c r="G135" s="67"/>
    </row>
    <row r="136" spans="1:7" ht="14.5">
      <c r="A136" s="62"/>
      <c r="B136" s="63"/>
      <c r="C136" s="64"/>
      <c r="D136" s="64"/>
      <c r="E136" s="65"/>
      <c r="F136" s="66"/>
      <c r="G136" s="67"/>
    </row>
    <row r="137" spans="1:7" ht="14.5">
      <c r="A137" s="62"/>
      <c r="B137" s="63"/>
      <c r="C137" s="64"/>
      <c r="D137" s="64"/>
      <c r="E137" s="65"/>
      <c r="F137" s="66"/>
      <c r="G137" s="67"/>
    </row>
    <row r="138" spans="1:7" ht="14.5">
      <c r="A138" s="62"/>
      <c r="B138" s="63"/>
      <c r="C138" s="64"/>
      <c r="D138" s="64"/>
      <c r="E138" s="65"/>
      <c r="F138" s="66"/>
      <c r="G138" s="67"/>
    </row>
    <row r="139" spans="1:7" ht="14.5">
      <c r="A139" s="62"/>
      <c r="B139" s="63"/>
      <c r="C139" s="64"/>
      <c r="D139" s="64"/>
      <c r="E139" s="65"/>
      <c r="F139" s="66"/>
      <c r="G139" s="67"/>
    </row>
    <row r="140" spans="1:7" ht="14.5">
      <c r="A140" s="62"/>
      <c r="B140" s="63"/>
      <c r="C140" s="64"/>
      <c r="D140" s="64"/>
      <c r="E140" s="65"/>
      <c r="F140" s="66"/>
      <c r="G140" s="67"/>
    </row>
    <row r="141" spans="1:7" ht="14.5">
      <c r="A141" s="62"/>
      <c r="B141" s="63"/>
      <c r="C141" s="64"/>
      <c r="D141" s="64"/>
      <c r="E141" s="65"/>
      <c r="F141" s="66"/>
      <c r="G141" s="67"/>
    </row>
    <row r="142" spans="1:7" ht="14.5">
      <c r="A142" s="62"/>
      <c r="B142" s="63"/>
      <c r="C142" s="64"/>
      <c r="D142" s="64"/>
      <c r="E142" s="65"/>
      <c r="F142" s="66"/>
      <c r="G142" s="67"/>
    </row>
    <row r="143" spans="1:7" ht="14.5">
      <c r="A143" s="62"/>
      <c r="B143" s="63"/>
      <c r="C143" s="64"/>
      <c r="D143" s="64"/>
      <c r="E143" s="65"/>
      <c r="F143" s="66"/>
      <c r="G143" s="67"/>
    </row>
    <row r="144" spans="1:7" ht="14.5">
      <c r="A144" s="62"/>
      <c r="B144" s="63"/>
      <c r="C144" s="64"/>
      <c r="D144" s="64"/>
      <c r="E144" s="65"/>
      <c r="F144" s="66"/>
      <c r="G144" s="67"/>
    </row>
    <row r="145" spans="1:7" ht="14.5">
      <c r="A145" s="62"/>
      <c r="B145" s="63"/>
      <c r="C145" s="64"/>
      <c r="D145" s="64"/>
      <c r="E145" s="65"/>
      <c r="F145" s="66"/>
      <c r="G145" s="67"/>
    </row>
    <row r="146" spans="1:7" ht="14.5">
      <c r="A146" s="62"/>
      <c r="B146" s="63"/>
      <c r="C146" s="64"/>
      <c r="D146" s="64"/>
      <c r="E146" s="65"/>
      <c r="F146" s="66"/>
      <c r="G146" s="67"/>
    </row>
    <row r="147" spans="1:7" ht="14.5">
      <c r="A147" s="62"/>
      <c r="B147" s="63"/>
      <c r="C147" s="64"/>
      <c r="D147" s="64"/>
      <c r="E147" s="65"/>
      <c r="F147" s="66"/>
      <c r="G147" s="67"/>
    </row>
    <row r="148" spans="1:7" ht="14.5">
      <c r="A148" s="62"/>
      <c r="B148" s="63"/>
      <c r="C148" s="64"/>
      <c r="D148" s="64"/>
      <c r="E148" s="65"/>
      <c r="F148" s="66"/>
      <c r="G148" s="67"/>
    </row>
    <row r="149" spans="1:7" ht="14.5">
      <c r="A149" s="62"/>
      <c r="B149" s="63"/>
      <c r="C149" s="64"/>
      <c r="D149" s="64"/>
      <c r="E149" s="65"/>
      <c r="F149" s="66"/>
      <c r="G149" s="67"/>
    </row>
    <row r="150" spans="1:7" ht="14.5">
      <c r="A150" s="6"/>
      <c r="B150" s="7"/>
      <c r="C150" s="2"/>
      <c r="D150" s="2"/>
      <c r="E150" s="45"/>
      <c r="F150" s="10"/>
    </row>
    <row r="151" spans="1:7" ht="14.5">
      <c r="A151" s="6"/>
      <c r="B151" s="7"/>
      <c r="C151" s="2"/>
      <c r="D151" s="2"/>
      <c r="E151" s="45"/>
      <c r="F151" s="10"/>
    </row>
    <row r="152" spans="1:7" ht="14.5">
      <c r="A152" s="6"/>
      <c r="B152" s="7"/>
      <c r="C152" s="2"/>
      <c r="D152" s="2"/>
      <c r="E152" s="45"/>
      <c r="F152" s="10"/>
    </row>
    <row r="153" spans="1:7" ht="14.5">
      <c r="A153" s="6"/>
      <c r="B153" s="7"/>
      <c r="C153" s="2"/>
      <c r="D153" s="2"/>
      <c r="E153" s="45"/>
      <c r="F153" s="10"/>
    </row>
    <row r="154" spans="1:7" ht="17.25" customHeight="1">
      <c r="A154" s="16"/>
      <c r="B154" s="17"/>
      <c r="C154" s="18"/>
      <c r="D154" s="18"/>
      <c r="E154" s="49"/>
      <c r="F154" s="20"/>
    </row>
    <row r="155" spans="1:7" ht="14.5">
      <c r="A155" s="6"/>
      <c r="B155" s="7"/>
      <c r="C155" s="12"/>
      <c r="D155" s="12"/>
      <c r="E155" s="46"/>
      <c r="F155" s="10"/>
    </row>
    <row r="156" spans="1:7" ht="14.5">
      <c r="A156" s="6"/>
      <c r="B156" s="7"/>
      <c r="C156" s="12"/>
      <c r="D156" s="10"/>
      <c r="E156" s="48"/>
      <c r="F156" s="10"/>
    </row>
    <row r="157" spans="1:7" ht="14.5">
      <c r="A157" s="6"/>
      <c r="B157" s="7"/>
      <c r="C157" s="12"/>
      <c r="D157" s="10"/>
      <c r="E157" s="48"/>
      <c r="F157" s="10"/>
    </row>
    <row r="158" spans="1:7" ht="14.5">
      <c r="A158" s="6"/>
      <c r="B158" s="7"/>
      <c r="C158" s="12"/>
      <c r="D158" s="10"/>
      <c r="E158" s="48"/>
      <c r="F158" s="10"/>
    </row>
    <row r="159" spans="1:7" ht="14.5">
      <c r="A159" s="6"/>
      <c r="B159" s="7"/>
      <c r="C159" s="12"/>
      <c r="D159" s="10"/>
      <c r="E159" s="48"/>
      <c r="F159" s="10"/>
    </row>
    <row r="160" spans="1:7" ht="14.5">
      <c r="A160" s="6"/>
      <c r="B160" s="7"/>
      <c r="C160" s="12"/>
      <c r="D160" s="10"/>
      <c r="E160" s="48"/>
      <c r="F160" s="10"/>
    </row>
    <row r="161" spans="1:6" ht="14.5">
      <c r="A161" s="6"/>
      <c r="B161" s="7"/>
      <c r="C161" s="12"/>
      <c r="D161" s="10"/>
      <c r="E161" s="48"/>
      <c r="F161" s="10"/>
    </row>
    <row r="162" spans="1:6" ht="14.5">
      <c r="A162" s="6"/>
      <c r="B162" s="7"/>
      <c r="C162" s="12"/>
      <c r="D162" s="10"/>
      <c r="E162" s="48"/>
      <c r="F162" s="10"/>
    </row>
    <row r="163" spans="1:6" ht="14.5">
      <c r="A163" s="6"/>
      <c r="B163" s="7"/>
      <c r="C163" s="12"/>
      <c r="D163" s="10"/>
      <c r="E163" s="48"/>
      <c r="F163" s="10"/>
    </row>
    <row r="164" spans="1:6" ht="14.5">
      <c r="A164" s="6"/>
      <c r="B164" s="7"/>
      <c r="C164" s="12"/>
      <c r="D164" s="10"/>
      <c r="E164" s="48"/>
      <c r="F164" s="10"/>
    </row>
    <row r="165" spans="1:6" ht="14.5">
      <c r="A165" s="6"/>
      <c r="B165" s="7"/>
      <c r="C165" s="12"/>
      <c r="D165" s="10"/>
      <c r="E165" s="48"/>
      <c r="F165" s="10"/>
    </row>
    <row r="166" spans="1:6" ht="14.5">
      <c r="A166" s="6"/>
      <c r="B166" s="7"/>
      <c r="C166" s="12"/>
      <c r="D166" s="10"/>
      <c r="E166" s="48"/>
      <c r="F166" s="10"/>
    </row>
    <row r="167" spans="1:6" ht="14.5">
      <c r="A167" s="6"/>
      <c r="B167" s="7"/>
      <c r="C167" s="12"/>
      <c r="D167" s="10"/>
      <c r="E167" s="48"/>
      <c r="F167" s="10"/>
    </row>
    <row r="168" spans="1:6" ht="14.5">
      <c r="A168" s="6"/>
      <c r="B168" s="7"/>
      <c r="C168" s="12"/>
      <c r="D168" s="10"/>
      <c r="E168" s="48"/>
      <c r="F168" s="10"/>
    </row>
    <row r="169" spans="1:6" ht="14.5">
      <c r="A169" s="6"/>
      <c r="B169" s="7"/>
      <c r="C169" s="12"/>
      <c r="D169" s="10"/>
      <c r="E169" s="48"/>
      <c r="F169" s="10"/>
    </row>
    <row r="170" spans="1:6" ht="14.5">
      <c r="A170" s="6"/>
      <c r="B170" s="7"/>
      <c r="C170" s="12"/>
      <c r="D170" s="12"/>
      <c r="E170" s="46"/>
      <c r="F170" s="10"/>
    </row>
    <row r="171" spans="1:6" ht="14.5">
      <c r="A171" s="6"/>
      <c r="B171" s="7"/>
      <c r="C171" s="12"/>
      <c r="D171" s="12"/>
      <c r="E171" s="46"/>
      <c r="F171" s="10"/>
    </row>
    <row r="172" spans="1:6" ht="14.5">
      <c r="A172" s="6"/>
      <c r="B172" s="7"/>
      <c r="C172" s="12"/>
      <c r="D172" s="10"/>
      <c r="E172" s="46"/>
      <c r="F172" s="10"/>
    </row>
    <row r="173" spans="1:6" ht="14.5">
      <c r="A173" s="6"/>
      <c r="B173" s="7"/>
      <c r="C173" s="12"/>
      <c r="D173" s="10"/>
      <c r="E173" s="46"/>
      <c r="F173" s="10"/>
    </row>
    <row r="174" spans="1:6" ht="14.5">
      <c r="A174" s="6"/>
      <c r="B174" s="7"/>
      <c r="C174" s="12"/>
      <c r="D174" s="10"/>
      <c r="E174" s="46"/>
      <c r="F174" s="10"/>
    </row>
    <row r="175" spans="1:6" ht="14.5">
      <c r="A175" s="6"/>
      <c r="B175" s="7"/>
      <c r="C175" s="12"/>
      <c r="D175" s="10"/>
      <c r="E175" s="46"/>
      <c r="F175" s="10"/>
    </row>
    <row r="176" spans="1:6" ht="14.5">
      <c r="A176" s="6"/>
      <c r="B176" s="7"/>
      <c r="C176" s="12"/>
      <c r="D176" s="10"/>
      <c r="E176" s="48"/>
      <c r="F176" s="10"/>
    </row>
    <row r="177" spans="1:6" ht="14.5">
      <c r="A177" s="6"/>
      <c r="B177" s="7"/>
      <c r="C177" s="12"/>
      <c r="D177" s="10"/>
      <c r="E177" s="48"/>
      <c r="F177" s="10"/>
    </row>
    <row r="178" spans="1:6" ht="14.5">
      <c r="A178" s="6"/>
      <c r="B178" s="7"/>
      <c r="C178" s="12"/>
      <c r="D178" s="10"/>
      <c r="E178" s="48"/>
      <c r="F178" s="10"/>
    </row>
    <row r="179" spans="1:6" ht="14.5">
      <c r="A179" s="6"/>
      <c r="B179" s="7"/>
      <c r="C179" s="12"/>
      <c r="D179" s="10"/>
      <c r="E179" s="48"/>
      <c r="F179" s="10"/>
    </row>
    <row r="180" spans="1:6" ht="14.5">
      <c r="A180" s="6"/>
      <c r="B180" s="7"/>
      <c r="C180" s="10"/>
      <c r="D180" s="10"/>
      <c r="E180" s="48"/>
      <c r="F180" s="10"/>
    </row>
    <row r="181" spans="1:6" ht="14.5">
      <c r="A181" s="6"/>
      <c r="B181" s="7"/>
      <c r="C181" s="12"/>
      <c r="D181" s="12"/>
      <c r="E181" s="46"/>
      <c r="F181" s="10"/>
    </row>
    <row r="182" spans="1:6" ht="14.5">
      <c r="A182" s="6"/>
      <c r="B182" s="7"/>
      <c r="C182" s="12"/>
      <c r="D182" s="12"/>
      <c r="E182" s="46"/>
      <c r="F182" s="10"/>
    </row>
    <row r="183" spans="1:6" ht="14.5">
      <c r="A183" s="6"/>
      <c r="B183" s="7"/>
      <c r="C183" s="12"/>
      <c r="D183" s="12"/>
      <c r="E183" s="46"/>
      <c r="F183" s="10"/>
    </row>
    <row r="184" spans="1:6" ht="14.5">
      <c r="A184" s="6"/>
      <c r="B184" s="7"/>
      <c r="C184" s="12"/>
      <c r="D184" s="10"/>
      <c r="E184" s="48"/>
      <c r="F184" s="10"/>
    </row>
    <row r="185" spans="1:6" ht="14.5">
      <c r="A185" s="6"/>
      <c r="B185" s="7"/>
      <c r="C185" s="8"/>
      <c r="D185" s="8"/>
      <c r="E185" s="44"/>
      <c r="F185" s="10"/>
    </row>
    <row r="186" spans="1:6" ht="14.5">
      <c r="A186" s="6"/>
      <c r="B186" s="7"/>
      <c r="C186" s="8"/>
      <c r="D186" s="8"/>
      <c r="E186" s="44"/>
      <c r="F186" s="10"/>
    </row>
    <row r="187" spans="1:6" ht="14.5">
      <c r="A187" s="6"/>
      <c r="B187" s="7"/>
      <c r="C187" s="8"/>
      <c r="D187" s="8"/>
      <c r="E187" s="44"/>
      <c r="F187" s="10"/>
    </row>
    <row r="188" spans="1:6" ht="14.5">
      <c r="A188" s="6"/>
      <c r="B188" s="7"/>
      <c r="C188" s="8"/>
      <c r="D188" s="8"/>
      <c r="E188" s="44"/>
      <c r="F188" s="10"/>
    </row>
    <row r="189" spans="1:6" ht="14.5">
      <c r="A189" s="6"/>
      <c r="B189" s="7"/>
      <c r="C189" s="8"/>
      <c r="D189" s="8"/>
      <c r="E189" s="44"/>
      <c r="F189" s="10"/>
    </row>
    <row r="190" spans="1:6" ht="14.5">
      <c r="A190" s="6"/>
      <c r="B190" s="7"/>
      <c r="C190" s="8"/>
      <c r="D190" s="8"/>
      <c r="E190" s="44"/>
      <c r="F190" s="10"/>
    </row>
    <row r="191" spans="1:6" ht="14.5">
      <c r="A191" s="6"/>
      <c r="B191" s="7"/>
      <c r="C191" s="8"/>
      <c r="D191" s="8"/>
      <c r="E191" s="44"/>
      <c r="F191" s="10"/>
    </row>
    <row r="192" spans="1:6" ht="14.5">
      <c r="A192" s="6"/>
      <c r="B192" s="7"/>
      <c r="C192" s="8"/>
      <c r="D192" s="8"/>
      <c r="E192" s="44"/>
      <c r="F192" s="10"/>
    </row>
    <row r="193" spans="1:6" ht="14.5">
      <c r="A193" s="6"/>
      <c r="B193" s="7"/>
      <c r="C193" s="8"/>
      <c r="D193" s="8"/>
      <c r="E193" s="44"/>
      <c r="F193" s="10"/>
    </row>
    <row r="194" spans="1:6" ht="14.5">
      <c r="A194" s="6"/>
      <c r="B194" s="7"/>
      <c r="C194" s="8"/>
      <c r="D194" s="8"/>
      <c r="E194" s="44"/>
      <c r="F194" s="10"/>
    </row>
    <row r="195" spans="1:6" ht="14.5">
      <c r="A195" s="6"/>
      <c r="B195" s="7"/>
      <c r="C195" s="8"/>
      <c r="D195" s="8"/>
      <c r="E195" s="44"/>
      <c r="F195" s="10"/>
    </row>
    <row r="196" spans="1:6" ht="14.5">
      <c r="A196" s="6"/>
      <c r="B196" s="7"/>
      <c r="C196" s="8"/>
      <c r="D196" s="8"/>
      <c r="E196" s="44"/>
      <c r="F196" s="10"/>
    </row>
    <row r="197" spans="1:6" ht="14.5">
      <c r="A197" s="6"/>
      <c r="B197" s="7"/>
      <c r="C197" s="8"/>
      <c r="D197" s="8"/>
      <c r="E197" s="44"/>
      <c r="F197" s="10"/>
    </row>
    <row r="198" spans="1:6" ht="14.5">
      <c r="A198" s="6"/>
      <c r="B198" s="7"/>
      <c r="C198" s="8"/>
      <c r="D198" s="8"/>
      <c r="E198" s="44"/>
      <c r="F198" s="10"/>
    </row>
    <row r="199" spans="1:6" ht="14.5">
      <c r="A199" s="6"/>
      <c r="B199" s="7"/>
      <c r="C199" s="8"/>
      <c r="D199" s="8"/>
      <c r="E199" s="44"/>
      <c r="F199" s="10"/>
    </row>
    <row r="200" spans="1:6" ht="14.5">
      <c r="A200" s="6"/>
      <c r="B200" s="7"/>
      <c r="C200" s="8"/>
      <c r="D200" s="8"/>
      <c r="E200" s="44"/>
      <c r="F200" s="10"/>
    </row>
    <row r="201" spans="1:6" ht="14.5">
      <c r="A201" s="6"/>
      <c r="B201" s="7"/>
      <c r="C201" s="8"/>
      <c r="D201" s="8"/>
      <c r="E201" s="44"/>
      <c r="F201" s="10"/>
    </row>
    <row r="202" spans="1:6" ht="14.5">
      <c r="A202" s="6"/>
      <c r="B202" s="7"/>
      <c r="C202" s="8"/>
      <c r="D202" s="8"/>
      <c r="E202" s="44"/>
      <c r="F202" s="10"/>
    </row>
    <row r="203" spans="1:6" ht="14.5">
      <c r="A203" s="6"/>
      <c r="B203" s="7"/>
      <c r="C203" s="8"/>
      <c r="D203" s="8"/>
      <c r="E203" s="44"/>
      <c r="F203" s="10"/>
    </row>
    <row r="204" spans="1:6" ht="14.5">
      <c r="A204" s="6"/>
      <c r="B204" s="7"/>
      <c r="C204" s="8"/>
      <c r="D204" s="8"/>
      <c r="E204" s="44"/>
      <c r="F204" s="10"/>
    </row>
    <row r="205" spans="1:6" ht="14.5">
      <c r="A205" s="6"/>
      <c r="B205" s="7"/>
      <c r="C205" s="8"/>
      <c r="D205" s="8"/>
      <c r="E205" s="44"/>
      <c r="F205" s="10"/>
    </row>
    <row r="206" spans="1:6" ht="14.5">
      <c r="A206" s="6"/>
      <c r="B206" s="7"/>
      <c r="C206" s="8"/>
      <c r="D206" s="8"/>
      <c r="E206" s="44"/>
      <c r="F206" s="10"/>
    </row>
    <row r="207" spans="1:6" ht="14.5">
      <c r="A207" s="6"/>
      <c r="B207" s="7"/>
      <c r="C207" s="8"/>
      <c r="D207" s="8"/>
      <c r="E207" s="44"/>
      <c r="F207" s="10"/>
    </row>
    <row r="208" spans="1:6" ht="14.5">
      <c r="A208" s="6"/>
      <c r="B208" s="7"/>
      <c r="C208" s="8"/>
      <c r="D208" s="8"/>
      <c r="E208" s="44"/>
      <c r="F208" s="10"/>
    </row>
    <row r="209" spans="1:6" ht="14.5">
      <c r="A209" s="6"/>
      <c r="B209" s="7"/>
      <c r="C209" s="8"/>
      <c r="D209" s="8"/>
      <c r="E209" s="44"/>
      <c r="F209" s="10"/>
    </row>
    <row r="210" spans="1:6" ht="14.5">
      <c r="A210" s="6"/>
      <c r="B210" s="7"/>
      <c r="C210" s="8"/>
      <c r="D210" s="8"/>
      <c r="E210" s="44"/>
      <c r="F210" s="10"/>
    </row>
    <row r="211" spans="1:6" ht="14.5">
      <c r="A211" s="6"/>
      <c r="B211" s="7"/>
      <c r="C211" s="8"/>
      <c r="D211" s="8"/>
      <c r="E211" s="44"/>
      <c r="F211" s="10"/>
    </row>
    <row r="212" spans="1:6" ht="14.5">
      <c r="A212" s="6"/>
      <c r="B212" s="7"/>
      <c r="C212" s="8"/>
      <c r="D212" s="8"/>
      <c r="E212" s="44"/>
      <c r="F212" s="10"/>
    </row>
    <row r="213" spans="1:6" ht="14.5">
      <c r="A213" s="6"/>
      <c r="B213" s="7"/>
      <c r="C213" s="8"/>
      <c r="D213" s="8"/>
      <c r="E213" s="44"/>
      <c r="F213" s="10"/>
    </row>
    <row r="214" spans="1:6" ht="14.5">
      <c r="A214" s="6"/>
      <c r="B214" s="7"/>
      <c r="C214" s="8"/>
      <c r="D214" s="8"/>
      <c r="E214" s="44"/>
      <c r="F214" s="10"/>
    </row>
    <row r="215" spans="1:6" ht="14.5">
      <c r="A215" s="6"/>
      <c r="B215" s="7"/>
      <c r="C215" s="8"/>
      <c r="D215" s="8"/>
      <c r="E215" s="44"/>
      <c r="F215" s="10"/>
    </row>
    <row r="216" spans="1:6" ht="14.5">
      <c r="A216" s="6"/>
      <c r="B216" s="7"/>
      <c r="C216" s="8"/>
      <c r="D216" s="8"/>
      <c r="E216" s="44"/>
      <c r="F216" s="10"/>
    </row>
    <row r="217" spans="1:6" ht="14.5">
      <c r="A217" s="6"/>
      <c r="B217" s="7"/>
      <c r="C217" s="8"/>
      <c r="D217" s="8"/>
      <c r="E217" s="44"/>
      <c r="F217" s="10"/>
    </row>
    <row r="218" spans="1:6" ht="14.5">
      <c r="A218" s="6"/>
      <c r="B218" s="7"/>
      <c r="C218" s="8"/>
      <c r="D218" s="8"/>
      <c r="E218" s="44"/>
      <c r="F218" s="10"/>
    </row>
    <row r="219" spans="1:6" ht="14.5">
      <c r="A219" s="6"/>
      <c r="B219" s="7"/>
      <c r="C219" s="8"/>
      <c r="D219" s="8"/>
      <c r="E219" s="44"/>
      <c r="F219" s="10"/>
    </row>
    <row r="220" spans="1:6" ht="14.5">
      <c r="A220" s="6"/>
      <c r="B220" s="7"/>
      <c r="C220" s="8"/>
      <c r="D220" s="8"/>
      <c r="E220" s="44"/>
      <c r="F220" s="10"/>
    </row>
    <row r="221" spans="1:6" ht="14.5">
      <c r="A221" s="6"/>
      <c r="B221" s="7"/>
      <c r="C221" s="8"/>
      <c r="D221" s="8"/>
      <c r="E221" s="44"/>
      <c r="F221" s="10"/>
    </row>
    <row r="222" spans="1:6" ht="14.5">
      <c r="A222" s="6"/>
      <c r="B222" s="7"/>
      <c r="C222" s="8"/>
      <c r="D222" s="8"/>
      <c r="E222" s="44"/>
      <c r="F222" s="10"/>
    </row>
    <row r="223" spans="1:6" ht="14.5">
      <c r="A223" s="6"/>
      <c r="B223" s="7"/>
      <c r="C223" s="8"/>
      <c r="D223" s="8"/>
      <c r="E223" s="44"/>
      <c r="F223" s="10"/>
    </row>
    <row r="224" spans="1:6" ht="14.5">
      <c r="A224" s="6"/>
      <c r="B224" s="7"/>
      <c r="C224" s="8"/>
      <c r="D224" s="8"/>
      <c r="E224" s="44"/>
      <c r="F224" s="10"/>
    </row>
    <row r="225" spans="1:6" ht="14.5">
      <c r="A225" s="6"/>
      <c r="B225" s="7"/>
      <c r="C225" s="8"/>
      <c r="D225" s="8"/>
      <c r="E225" s="44"/>
      <c r="F225" s="10"/>
    </row>
    <row r="226" spans="1:6" ht="14.5">
      <c r="A226" s="6"/>
      <c r="B226" s="7"/>
      <c r="C226" s="8"/>
      <c r="D226" s="8"/>
      <c r="E226" s="44"/>
      <c r="F226" s="10"/>
    </row>
    <row r="227" spans="1:6" ht="14.5">
      <c r="A227" s="6"/>
      <c r="B227" s="7"/>
      <c r="C227" s="8"/>
      <c r="D227" s="8"/>
      <c r="E227" s="44"/>
      <c r="F227" s="10"/>
    </row>
    <row r="228" spans="1:6" ht="14.5">
      <c r="A228" s="6"/>
      <c r="B228" s="7"/>
      <c r="C228" s="8"/>
      <c r="D228" s="8"/>
      <c r="E228" s="44"/>
      <c r="F228" s="10"/>
    </row>
    <row r="229" spans="1:6" ht="14.5">
      <c r="A229" s="6"/>
      <c r="B229" s="7"/>
      <c r="C229" s="8"/>
      <c r="D229" s="8"/>
      <c r="E229" s="44"/>
      <c r="F229" s="10"/>
    </row>
    <row r="230" spans="1:6" ht="14.5">
      <c r="A230" s="6"/>
      <c r="B230" s="7"/>
      <c r="C230" s="8"/>
      <c r="D230" s="8"/>
      <c r="E230" s="44"/>
      <c r="F230" s="10"/>
    </row>
    <row r="231" spans="1:6" ht="14.5">
      <c r="A231" s="6"/>
      <c r="B231" s="7"/>
      <c r="C231" s="8"/>
      <c r="D231" s="8"/>
      <c r="E231" s="44"/>
      <c r="F231" s="10"/>
    </row>
    <row r="232" spans="1:6" ht="14.5">
      <c r="A232" s="6"/>
      <c r="B232" s="7"/>
      <c r="C232" s="8"/>
      <c r="D232" s="8"/>
      <c r="E232" s="44"/>
      <c r="F232" s="10"/>
    </row>
    <row r="233" spans="1:6" ht="14.5">
      <c r="A233" s="6"/>
      <c r="B233" s="7"/>
      <c r="C233" s="8"/>
      <c r="D233" s="8"/>
      <c r="E233" s="44"/>
      <c r="F233" s="10"/>
    </row>
    <row r="234" spans="1:6" ht="14.5">
      <c r="A234" s="6"/>
      <c r="B234" s="7"/>
      <c r="C234" s="8"/>
      <c r="D234" s="8"/>
      <c r="E234" s="44"/>
      <c r="F234" s="10"/>
    </row>
    <row r="235" spans="1:6" ht="14.5">
      <c r="A235" s="6"/>
      <c r="B235" s="7"/>
      <c r="C235" s="8"/>
      <c r="D235" s="8"/>
      <c r="E235" s="47"/>
      <c r="F235" s="10"/>
    </row>
    <row r="236" spans="1:6" ht="14.5">
      <c r="A236" s="6"/>
      <c r="B236" s="7"/>
      <c r="C236" s="14"/>
      <c r="D236" s="14"/>
      <c r="E236" s="47"/>
      <c r="F236" s="10"/>
    </row>
    <row r="237" spans="1:6" ht="14.5">
      <c r="A237" s="6"/>
      <c r="B237" s="7"/>
      <c r="C237" s="14"/>
      <c r="D237" s="14"/>
      <c r="E237" s="47"/>
      <c r="F237" s="10"/>
    </row>
    <row r="238" spans="1:6" ht="14.5">
      <c r="A238" s="6"/>
      <c r="B238" s="7"/>
      <c r="C238" s="14"/>
      <c r="D238" s="14"/>
      <c r="E238" s="47"/>
      <c r="F238" s="10"/>
    </row>
    <row r="239" spans="1:6" ht="14.5">
      <c r="A239" s="6"/>
      <c r="B239" s="7"/>
      <c r="C239" s="8"/>
      <c r="D239" s="8"/>
      <c r="E239" s="44"/>
      <c r="F239" s="10"/>
    </row>
    <row r="240" spans="1:6" ht="14.5">
      <c r="A240" s="6"/>
      <c r="B240" s="7"/>
      <c r="C240" s="8"/>
      <c r="D240" s="8"/>
      <c r="E240" s="44"/>
      <c r="F240" s="10"/>
    </row>
    <row r="241" spans="1:6" ht="14.5">
      <c r="A241" s="6"/>
      <c r="B241" s="7"/>
      <c r="C241" s="8"/>
      <c r="D241" s="8"/>
      <c r="E241" s="44"/>
      <c r="F241" s="10"/>
    </row>
    <row r="242" spans="1:6" ht="14.5">
      <c r="A242" s="6"/>
      <c r="B242" s="7"/>
      <c r="C242" s="8"/>
      <c r="D242" s="8"/>
      <c r="E242" s="44"/>
      <c r="F242" s="10"/>
    </row>
    <row r="243" spans="1:6" ht="14.5">
      <c r="A243" s="6"/>
      <c r="B243" s="7"/>
      <c r="C243" s="8"/>
      <c r="D243" s="8"/>
      <c r="E243" s="44"/>
      <c r="F243" s="10"/>
    </row>
    <row r="244" spans="1:6" ht="14.5">
      <c r="A244" s="6"/>
      <c r="B244" s="7"/>
      <c r="C244" s="8"/>
      <c r="D244" s="8"/>
      <c r="E244" s="44"/>
      <c r="F244" s="10"/>
    </row>
    <row r="245" spans="1:6" ht="14.5">
      <c r="A245" s="6"/>
      <c r="B245" s="7"/>
      <c r="C245" s="14"/>
      <c r="D245" s="14"/>
      <c r="E245" s="47"/>
      <c r="F245" s="10"/>
    </row>
    <row r="246" spans="1:6" ht="14.5">
      <c r="A246" s="6"/>
      <c r="B246" s="7"/>
      <c r="C246" s="8"/>
      <c r="D246" s="8"/>
      <c r="E246" s="44"/>
      <c r="F246" s="10"/>
    </row>
    <row r="247" spans="1:6" ht="14.5">
      <c r="A247" s="6"/>
      <c r="B247" s="7"/>
      <c r="C247" s="14"/>
      <c r="D247" s="14"/>
      <c r="E247" s="47"/>
      <c r="F247" s="10"/>
    </row>
    <row r="248" spans="1:6" ht="14.5">
      <c r="A248" s="6"/>
      <c r="B248" s="7"/>
      <c r="C248" s="8"/>
      <c r="D248" s="8"/>
      <c r="E248" s="44"/>
      <c r="F248" s="10"/>
    </row>
    <row r="249" spans="1:6" ht="14.5">
      <c r="A249" s="6"/>
      <c r="B249" s="7"/>
      <c r="C249" s="8"/>
      <c r="D249" s="8"/>
      <c r="E249" s="44"/>
      <c r="F249" s="10"/>
    </row>
    <row r="250" spans="1:6" ht="14.5">
      <c r="A250" s="6"/>
      <c r="B250" s="7"/>
      <c r="C250" s="8"/>
      <c r="D250" s="8"/>
      <c r="E250" s="44"/>
      <c r="F250" s="10"/>
    </row>
    <row r="251" spans="1:6" ht="14.5">
      <c r="A251" s="6"/>
      <c r="B251" s="7"/>
      <c r="C251" s="8"/>
      <c r="D251" s="8"/>
      <c r="E251" s="44"/>
      <c r="F251" s="10"/>
    </row>
    <row r="252" spans="1:6" ht="14.5">
      <c r="A252" s="22"/>
      <c r="B252" s="7"/>
      <c r="C252" s="12"/>
      <c r="D252" s="12"/>
      <c r="E252" s="46"/>
      <c r="F252" s="10"/>
    </row>
    <row r="253" spans="1:6" ht="14.5">
      <c r="A253" s="22"/>
      <c r="B253" s="7"/>
      <c r="C253" s="12"/>
      <c r="D253" s="10"/>
      <c r="E253" s="48"/>
      <c r="F253" s="10"/>
    </row>
    <row r="254" spans="1:6" ht="14.5">
      <c r="A254" s="22"/>
      <c r="B254" s="7"/>
      <c r="C254" s="12"/>
      <c r="D254" s="10"/>
      <c r="E254" s="48"/>
      <c r="F254" s="10"/>
    </row>
    <row r="255" spans="1:6" ht="14.5">
      <c r="A255" s="22"/>
      <c r="B255" s="7"/>
      <c r="C255" s="12"/>
      <c r="D255" s="10"/>
      <c r="E255" s="48"/>
      <c r="F255" s="10"/>
    </row>
    <row r="256" spans="1:6" ht="14.5">
      <c r="A256" s="22"/>
      <c r="B256" s="7"/>
      <c r="C256" s="12"/>
      <c r="D256" s="10"/>
      <c r="E256" s="48"/>
      <c r="F256" s="10"/>
    </row>
    <row r="257" spans="1:6" ht="14.5">
      <c r="A257" s="22"/>
      <c r="B257" s="7"/>
      <c r="C257" s="12"/>
      <c r="D257" s="12"/>
      <c r="E257" s="48"/>
      <c r="F257" s="10"/>
    </row>
    <row r="258" spans="1:6" ht="14.5">
      <c r="A258" s="22"/>
      <c r="B258" s="7"/>
      <c r="C258" s="12"/>
      <c r="D258" s="10"/>
      <c r="E258" s="48"/>
      <c r="F258" s="10"/>
    </row>
    <row r="259" spans="1:6" ht="14.5">
      <c r="A259" s="22"/>
      <c r="B259" s="7"/>
      <c r="C259" s="12"/>
      <c r="D259" s="10"/>
      <c r="E259" s="48"/>
      <c r="F259" s="10"/>
    </row>
    <row r="260" spans="1:6" ht="15.75" customHeight="1">
      <c r="A260" s="221"/>
      <c r="B260" s="7"/>
      <c r="C260" s="222"/>
      <c r="D260" s="223"/>
      <c r="E260" s="224"/>
      <c r="F260" s="10"/>
    </row>
    <row r="261" spans="1:6" ht="15.75" customHeight="1">
      <c r="A261" s="221"/>
      <c r="B261" s="7"/>
      <c r="C261" s="222"/>
      <c r="D261" s="225"/>
      <c r="E261" s="224"/>
      <c r="F261" s="10"/>
    </row>
    <row r="262" spans="1:6" ht="15.75" customHeight="1">
      <c r="A262" s="221"/>
      <c r="B262" s="7"/>
      <c r="C262" s="222"/>
      <c r="D262" s="225"/>
      <c r="E262" s="224"/>
      <c r="F262" s="10"/>
    </row>
    <row r="263" spans="1:6" ht="15.75" customHeight="1">
      <c r="A263" s="221"/>
      <c r="B263" s="7"/>
      <c r="C263" s="222"/>
      <c r="D263" s="223"/>
      <c r="E263" s="224"/>
    </row>
    <row r="264" spans="1:6" ht="15.75" customHeight="1">
      <c r="A264" s="221"/>
      <c r="B264" s="7"/>
      <c r="C264" s="222"/>
      <c r="D264" s="223"/>
      <c r="E264" s="224"/>
    </row>
    <row r="265" spans="1:6" ht="15.75" customHeight="1">
      <c r="A265" s="221"/>
      <c r="B265" s="7"/>
      <c r="C265" s="222"/>
      <c r="D265" s="223"/>
      <c r="E265" s="224"/>
      <c r="F265" s="10"/>
    </row>
    <row r="266" spans="1:6" ht="15.75" customHeight="1">
      <c r="A266" s="221"/>
      <c r="B266" s="7"/>
      <c r="C266" s="222"/>
      <c r="D266" s="223"/>
      <c r="E266" s="224"/>
      <c r="F266" s="10"/>
    </row>
    <row r="267" spans="1:6" ht="15.75" customHeight="1">
      <c r="A267" s="221"/>
      <c r="B267" s="7"/>
      <c r="C267" s="222"/>
      <c r="D267" s="226"/>
      <c r="E267" s="227"/>
    </row>
    <row r="268" spans="1:6" ht="15.75" customHeight="1">
      <c r="A268" s="221"/>
      <c r="B268" s="7"/>
      <c r="C268" s="40"/>
      <c r="D268" s="40"/>
      <c r="E268" s="42"/>
      <c r="F268" s="10"/>
    </row>
    <row r="269" spans="1:6" ht="15.75" customHeight="1">
      <c r="A269" s="221"/>
      <c r="B269" s="7"/>
      <c r="C269" s="40"/>
      <c r="D269" s="40"/>
      <c r="E269" s="42"/>
      <c r="F269" s="10"/>
    </row>
    <row r="270" spans="1:6" ht="15.75" customHeight="1">
      <c r="A270" s="221"/>
      <c r="B270" s="7"/>
      <c r="C270" s="40"/>
      <c r="D270" s="40"/>
      <c r="E270" s="42"/>
    </row>
    <row r="271" spans="1:6" ht="15.75" customHeight="1">
      <c r="A271" s="221"/>
      <c r="B271" s="7"/>
      <c r="C271" s="222"/>
      <c r="D271" s="225"/>
      <c r="E271" s="224"/>
      <c r="F271" s="10"/>
    </row>
    <row r="272" spans="1:6" ht="15.75" customHeight="1">
      <c r="A272" s="221"/>
      <c r="B272" s="7"/>
      <c r="C272" s="222"/>
      <c r="D272" s="223"/>
      <c r="E272" s="224"/>
      <c r="F272" s="10"/>
    </row>
    <row r="273" spans="1:6" ht="15.75" customHeight="1">
      <c r="A273" s="221"/>
      <c r="B273" s="7"/>
      <c r="C273" s="222"/>
      <c r="D273" s="225"/>
      <c r="E273" s="224"/>
      <c r="F273" s="10"/>
    </row>
    <row r="274" spans="1:6" ht="15.75" customHeight="1">
      <c r="A274" s="221"/>
      <c r="B274" s="7"/>
      <c r="C274" s="222"/>
      <c r="D274" s="225"/>
      <c r="E274" s="224"/>
      <c r="F274" s="10"/>
    </row>
    <row r="275" spans="1:6" ht="15.75" customHeight="1">
      <c r="A275" s="221"/>
      <c r="B275" s="7"/>
      <c r="C275" s="222"/>
      <c r="D275" s="223"/>
      <c r="E275" s="224"/>
      <c r="F275" s="10"/>
    </row>
    <row r="276" spans="1:6" ht="15.75" customHeight="1">
      <c r="A276" s="221"/>
      <c r="B276" s="7"/>
      <c r="C276" s="222"/>
      <c r="D276" s="223"/>
      <c r="E276" s="224"/>
    </row>
    <row r="277" spans="1:6" ht="15.75" customHeight="1">
      <c r="A277" s="221"/>
      <c r="B277" s="7"/>
      <c r="C277" s="40"/>
      <c r="D277" s="40"/>
      <c r="E277" s="42"/>
      <c r="F277" s="10"/>
    </row>
    <row r="278" spans="1:6" ht="15.75" customHeight="1">
      <c r="A278" s="221"/>
      <c r="B278" s="7"/>
      <c r="C278" s="40"/>
      <c r="D278" s="40"/>
      <c r="E278" s="42"/>
    </row>
    <row r="279" spans="1:6" ht="15.75" customHeight="1">
      <c r="A279" s="221"/>
      <c r="B279" s="7"/>
      <c r="C279" s="40"/>
      <c r="D279" s="40"/>
      <c r="E279" s="42"/>
    </row>
    <row r="280" spans="1:6" ht="15.75" customHeight="1">
      <c r="A280" s="221"/>
      <c r="B280" s="7"/>
      <c r="C280" s="41"/>
      <c r="D280" s="41"/>
      <c r="E280" s="43"/>
    </row>
    <row r="281" spans="1:6" ht="15.75" customHeight="1">
      <c r="A281" s="221"/>
      <c r="B281" s="7"/>
      <c r="C281" s="41"/>
      <c r="D281" s="41"/>
      <c r="E281" s="43"/>
    </row>
    <row r="282" spans="1:6" ht="15.75" customHeight="1">
      <c r="A282" s="221"/>
      <c r="B282" s="7"/>
      <c r="C282" s="41"/>
      <c r="D282" s="41"/>
      <c r="E282" s="43"/>
    </row>
  </sheetData>
  <autoFilter ref="A1:F282" xr:uid="{00000000-0001-0000-0000-000000000000}"/>
  <dataValidations count="2">
    <dataValidation type="list" allowBlank="1" showErrorMessage="1" sqref="F150:F1343" xr:uid="{00000000-0002-0000-0000-000001000000}">
      <formula1>"Cleaning Material,Pantry Supplies,Office Supplies,Medical Supplies,Event Material"</formula1>
    </dataValidation>
    <dataValidation type="list" allowBlank="1" showErrorMessage="1" sqref="F2:F149" xr:uid="{C6840763-D320-4269-BB67-9CE363AE334B}">
      <formula1>"Cleaning Material,Pantry Supplies,Office Supplies,Medical Supplies"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1"/>
  <sheetViews>
    <sheetView showGridLines="0" topLeftCell="D23" workbookViewId="0">
      <selection sqref="A1:G31"/>
    </sheetView>
  </sheetViews>
  <sheetFormatPr defaultColWidth="12.54296875" defaultRowHeight="15.75" customHeight="1"/>
  <cols>
    <col min="2" max="2" width="15.54296875" customWidth="1"/>
    <col min="3" max="3" width="36.54296875" customWidth="1"/>
    <col min="4" max="4" width="98.7265625" style="73" customWidth="1"/>
    <col min="5" max="5" width="18.26953125" style="50" bestFit="1" customWidth="1"/>
    <col min="6" max="6" width="29.1796875" customWidth="1"/>
    <col min="7" max="7" width="19.453125" customWidth="1"/>
  </cols>
  <sheetData>
    <row r="1" spans="1:7" ht="16.5" customHeight="1">
      <c r="A1" s="139" t="s">
        <v>0</v>
      </c>
      <c r="B1" s="139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</row>
    <row r="2" spans="1:7" ht="14.5">
      <c r="A2" s="203">
        <v>45658</v>
      </c>
      <c r="B2" s="151">
        <v>45658</v>
      </c>
      <c r="C2" s="133" t="s">
        <v>131</v>
      </c>
      <c r="D2" s="176" t="s">
        <v>132</v>
      </c>
      <c r="E2" s="96">
        <v>2145000</v>
      </c>
      <c r="F2" s="66" t="s">
        <v>133</v>
      </c>
      <c r="G2" s="138" t="s">
        <v>134</v>
      </c>
    </row>
    <row r="3" spans="1:7" ht="14.5">
      <c r="A3" s="201">
        <v>45659</v>
      </c>
      <c r="B3" s="151">
        <v>45659</v>
      </c>
      <c r="C3" s="177" t="s">
        <v>135</v>
      </c>
      <c r="D3" s="191" t="s">
        <v>136</v>
      </c>
      <c r="E3" s="192">
        <v>1489910</v>
      </c>
      <c r="F3" s="66" t="s">
        <v>137</v>
      </c>
      <c r="G3" s="138" t="s">
        <v>134</v>
      </c>
    </row>
    <row r="4" spans="1:7" ht="14.5">
      <c r="A4" s="201">
        <v>45659</v>
      </c>
      <c r="B4" s="151">
        <v>45659</v>
      </c>
      <c r="C4" s="129" t="s">
        <v>28</v>
      </c>
      <c r="D4" s="66" t="s">
        <v>138</v>
      </c>
      <c r="E4" s="193">
        <v>114000</v>
      </c>
      <c r="F4" s="66" t="s">
        <v>133</v>
      </c>
      <c r="G4" s="138" t="s">
        <v>134</v>
      </c>
    </row>
    <row r="5" spans="1:7" ht="14.5">
      <c r="A5" s="202">
        <v>45666</v>
      </c>
      <c r="B5" s="151">
        <v>45666</v>
      </c>
      <c r="C5" s="129" t="s">
        <v>28</v>
      </c>
      <c r="D5" s="66" t="s">
        <v>139</v>
      </c>
      <c r="E5" s="193">
        <v>192000</v>
      </c>
      <c r="F5" s="66" t="s">
        <v>133</v>
      </c>
      <c r="G5" s="138" t="s">
        <v>134</v>
      </c>
    </row>
    <row r="6" spans="1:7" ht="14.5">
      <c r="A6" s="202">
        <v>45666</v>
      </c>
      <c r="B6" s="151">
        <v>45666</v>
      </c>
      <c r="C6" s="129" t="s">
        <v>140</v>
      </c>
      <c r="D6" s="66" t="s">
        <v>141</v>
      </c>
      <c r="E6" s="96">
        <v>405750</v>
      </c>
      <c r="F6" s="66" t="s">
        <v>133</v>
      </c>
      <c r="G6" s="138" t="s">
        <v>134</v>
      </c>
    </row>
    <row r="7" spans="1:7" ht="14.5">
      <c r="A7" s="202">
        <v>45672</v>
      </c>
      <c r="B7" s="151">
        <v>45672</v>
      </c>
      <c r="C7" s="134" t="s">
        <v>142</v>
      </c>
      <c r="D7" s="66" t="s">
        <v>143</v>
      </c>
      <c r="E7" s="96">
        <v>832663.4</v>
      </c>
      <c r="F7" s="66" t="s">
        <v>133</v>
      </c>
      <c r="G7" s="138" t="s">
        <v>134</v>
      </c>
    </row>
    <row r="8" spans="1:7" ht="14.5">
      <c r="A8" s="201">
        <v>45671</v>
      </c>
      <c r="B8" s="151">
        <v>45671</v>
      </c>
      <c r="C8" s="199" t="s">
        <v>42</v>
      </c>
      <c r="D8" s="66" t="s">
        <v>144</v>
      </c>
      <c r="E8" s="96">
        <v>299100</v>
      </c>
      <c r="F8" s="66" t="s">
        <v>133</v>
      </c>
      <c r="G8" s="138" t="s">
        <v>134</v>
      </c>
    </row>
    <row r="9" spans="1:7" ht="14.5">
      <c r="A9" s="202">
        <v>45677</v>
      </c>
      <c r="B9" s="151">
        <v>45677</v>
      </c>
      <c r="C9" s="94" t="s">
        <v>145</v>
      </c>
      <c r="D9" s="94" t="s">
        <v>146</v>
      </c>
      <c r="E9" s="96">
        <v>1966920</v>
      </c>
      <c r="F9" s="66" t="s">
        <v>133</v>
      </c>
      <c r="G9" s="138" t="s">
        <v>134</v>
      </c>
    </row>
    <row r="10" spans="1:7" ht="14.5">
      <c r="A10" s="201">
        <v>45680</v>
      </c>
      <c r="B10" s="151">
        <v>45680</v>
      </c>
      <c r="C10" s="129" t="s">
        <v>62</v>
      </c>
      <c r="D10" s="66" t="s">
        <v>147</v>
      </c>
      <c r="E10" s="96">
        <v>175000</v>
      </c>
      <c r="F10" s="66" t="s">
        <v>133</v>
      </c>
      <c r="G10" s="138" t="s">
        <v>134</v>
      </c>
    </row>
    <row r="11" spans="1:7" ht="14.5">
      <c r="A11" s="202">
        <v>45699</v>
      </c>
      <c r="B11" s="151">
        <v>45699</v>
      </c>
      <c r="C11" s="129" t="s">
        <v>66</v>
      </c>
      <c r="D11" s="94" t="s">
        <v>148</v>
      </c>
      <c r="E11" s="96">
        <v>1076000</v>
      </c>
      <c r="F11" s="66" t="s">
        <v>133</v>
      </c>
      <c r="G11" s="138" t="s">
        <v>134</v>
      </c>
    </row>
    <row r="12" spans="1:7" ht="14.5">
      <c r="A12" s="202">
        <v>45694</v>
      </c>
      <c r="B12" s="151">
        <v>45694</v>
      </c>
      <c r="C12" s="134" t="s">
        <v>149</v>
      </c>
      <c r="D12" s="66" t="s">
        <v>150</v>
      </c>
      <c r="E12" s="96">
        <v>477300</v>
      </c>
      <c r="F12" s="66" t="s">
        <v>133</v>
      </c>
      <c r="G12" s="138" t="s">
        <v>134</v>
      </c>
    </row>
    <row r="13" spans="1:7" ht="14.5">
      <c r="A13" s="201">
        <v>45698</v>
      </c>
      <c r="B13" s="151">
        <v>45698</v>
      </c>
      <c r="C13" s="129" t="s">
        <v>75</v>
      </c>
      <c r="D13" s="66" t="s">
        <v>151</v>
      </c>
      <c r="E13" s="96">
        <v>220000</v>
      </c>
      <c r="F13" s="66" t="s">
        <v>137</v>
      </c>
      <c r="G13" s="138" t="s">
        <v>152</v>
      </c>
    </row>
    <row r="14" spans="1:7" ht="14.5">
      <c r="A14" s="202">
        <v>45706</v>
      </c>
      <c r="B14" s="151">
        <v>45706</v>
      </c>
      <c r="C14" s="129" t="s">
        <v>75</v>
      </c>
      <c r="D14" s="66" t="s">
        <v>153</v>
      </c>
      <c r="E14" s="96">
        <v>800000</v>
      </c>
      <c r="F14" s="66" t="s">
        <v>133</v>
      </c>
      <c r="G14" s="138" t="s">
        <v>134</v>
      </c>
    </row>
    <row r="15" spans="1:7" ht="14.5">
      <c r="A15" s="202">
        <v>45706</v>
      </c>
      <c r="B15" s="151">
        <v>45706</v>
      </c>
      <c r="C15" s="129" t="s">
        <v>75</v>
      </c>
      <c r="D15" s="66" t="s">
        <v>154</v>
      </c>
      <c r="E15" s="96">
        <v>20000</v>
      </c>
      <c r="F15" s="66" t="s">
        <v>133</v>
      </c>
      <c r="G15" s="138" t="s">
        <v>134</v>
      </c>
    </row>
    <row r="16" spans="1:7" ht="14.5">
      <c r="A16" s="202">
        <v>45706</v>
      </c>
      <c r="B16" s="151">
        <v>45706</v>
      </c>
      <c r="C16" s="134" t="s">
        <v>82</v>
      </c>
      <c r="D16" s="79" t="s">
        <v>155</v>
      </c>
      <c r="E16" s="96">
        <v>20000</v>
      </c>
      <c r="F16" s="66" t="s">
        <v>137</v>
      </c>
      <c r="G16" s="138" t="s">
        <v>152</v>
      </c>
    </row>
    <row r="17" spans="1:7" ht="14.5">
      <c r="A17" s="201">
        <v>45713</v>
      </c>
      <c r="B17" s="151">
        <v>45713</v>
      </c>
      <c r="C17" s="134" t="s">
        <v>82</v>
      </c>
      <c r="D17" s="79" t="s">
        <v>156</v>
      </c>
      <c r="E17" s="96">
        <v>140000</v>
      </c>
      <c r="F17" s="66" t="s">
        <v>133</v>
      </c>
      <c r="G17" s="138" t="s">
        <v>134</v>
      </c>
    </row>
    <row r="18" spans="1:7" ht="14.5">
      <c r="A18" s="201">
        <v>45713</v>
      </c>
      <c r="B18" s="151">
        <v>45713</v>
      </c>
      <c r="C18" s="129" t="s">
        <v>94</v>
      </c>
      <c r="D18" s="177" t="s">
        <v>157</v>
      </c>
      <c r="E18" s="194">
        <v>200000</v>
      </c>
      <c r="F18" s="66" t="s">
        <v>133</v>
      </c>
      <c r="G18" s="138" t="s">
        <v>134</v>
      </c>
    </row>
    <row r="19" spans="1:7" ht="14.5">
      <c r="A19" s="202">
        <v>45726</v>
      </c>
      <c r="B19" s="151">
        <v>45726</v>
      </c>
      <c r="C19" s="129" t="s">
        <v>94</v>
      </c>
      <c r="D19" s="177" t="s">
        <v>158</v>
      </c>
      <c r="E19" s="194">
        <v>95000</v>
      </c>
      <c r="F19" s="66" t="s">
        <v>133</v>
      </c>
      <c r="G19" s="138" t="s">
        <v>134</v>
      </c>
    </row>
    <row r="20" spans="1:7" ht="14.5">
      <c r="A20" s="202">
        <v>45726</v>
      </c>
      <c r="B20" s="151">
        <v>45726</v>
      </c>
      <c r="C20" s="129" t="s">
        <v>94</v>
      </c>
      <c r="D20" s="177" t="s">
        <v>159</v>
      </c>
      <c r="E20" s="194">
        <v>118200</v>
      </c>
      <c r="F20" s="66" t="s">
        <v>133</v>
      </c>
      <c r="G20" s="138" t="s">
        <v>134</v>
      </c>
    </row>
    <row r="21" spans="1:7" ht="14.5">
      <c r="A21" s="202">
        <v>45726</v>
      </c>
      <c r="B21" s="151">
        <v>45726</v>
      </c>
      <c r="C21" s="129" t="s">
        <v>94</v>
      </c>
      <c r="D21" s="177" t="s">
        <v>160</v>
      </c>
      <c r="E21" s="194">
        <v>18000</v>
      </c>
      <c r="F21" s="66" t="s">
        <v>133</v>
      </c>
      <c r="G21" s="138" t="s">
        <v>134</v>
      </c>
    </row>
    <row r="22" spans="1:7" ht="14.5">
      <c r="A22" s="202">
        <v>45726</v>
      </c>
      <c r="B22" s="151">
        <v>45726</v>
      </c>
      <c r="C22" s="129" t="s">
        <v>94</v>
      </c>
      <c r="D22" s="177" t="s">
        <v>161</v>
      </c>
      <c r="E22" s="194">
        <v>90000</v>
      </c>
      <c r="F22" s="66" t="s">
        <v>133</v>
      </c>
      <c r="G22" s="138" t="s">
        <v>134</v>
      </c>
    </row>
    <row r="23" spans="1:7" ht="14.5">
      <c r="A23" s="202">
        <v>45726</v>
      </c>
      <c r="B23" s="151">
        <v>45726</v>
      </c>
      <c r="C23" s="134" t="s">
        <v>162</v>
      </c>
      <c r="D23" s="66" t="s">
        <v>163</v>
      </c>
      <c r="E23" s="96">
        <v>1332000</v>
      </c>
      <c r="F23" s="66" t="s">
        <v>137</v>
      </c>
      <c r="G23" s="138" t="s">
        <v>134</v>
      </c>
    </row>
    <row r="24" spans="1:7" ht="29">
      <c r="A24" s="201">
        <v>45737</v>
      </c>
      <c r="B24" s="151">
        <v>45737</v>
      </c>
      <c r="C24" s="200" t="s">
        <v>164</v>
      </c>
      <c r="D24" s="177" t="s">
        <v>165</v>
      </c>
      <c r="E24" s="192">
        <v>5000000</v>
      </c>
      <c r="F24" s="66" t="s">
        <v>166</v>
      </c>
      <c r="G24" s="138" t="s">
        <v>152</v>
      </c>
    </row>
    <row r="25" spans="1:7" ht="14.5">
      <c r="A25" s="202">
        <v>45741</v>
      </c>
      <c r="B25" s="151">
        <v>45726</v>
      </c>
      <c r="C25" s="129" t="s">
        <v>120</v>
      </c>
      <c r="D25" s="66" t="s">
        <v>167</v>
      </c>
      <c r="E25" s="96">
        <v>10000</v>
      </c>
      <c r="F25" s="66" t="s">
        <v>133</v>
      </c>
      <c r="G25" s="138" t="s">
        <v>152</v>
      </c>
    </row>
    <row r="26" spans="1:7" ht="14.5">
      <c r="A26" s="202">
        <v>45743</v>
      </c>
      <c r="B26" s="151">
        <v>45743</v>
      </c>
      <c r="C26" s="129" t="s">
        <v>120</v>
      </c>
      <c r="D26" s="66" t="s">
        <v>168</v>
      </c>
      <c r="E26" s="96">
        <v>322000</v>
      </c>
      <c r="F26" s="66" t="s">
        <v>133</v>
      </c>
      <c r="G26" s="138" t="s">
        <v>134</v>
      </c>
    </row>
    <row r="27" spans="1:7" ht="14.5">
      <c r="A27" s="202">
        <v>45743</v>
      </c>
      <c r="B27" s="151">
        <v>45743</v>
      </c>
      <c r="C27" s="129" t="s">
        <v>120</v>
      </c>
      <c r="D27" s="66" t="s">
        <v>169</v>
      </c>
      <c r="E27" s="96">
        <v>130000</v>
      </c>
      <c r="F27" s="66" t="s">
        <v>133</v>
      </c>
      <c r="G27" s="138" t="s">
        <v>134</v>
      </c>
    </row>
    <row r="28" spans="1:7" ht="14.5">
      <c r="A28" s="202">
        <v>45743</v>
      </c>
      <c r="B28" s="151">
        <v>45743</v>
      </c>
      <c r="C28" s="129" t="s">
        <v>120</v>
      </c>
      <c r="D28" s="66" t="s">
        <v>170</v>
      </c>
      <c r="E28" s="96">
        <v>225000</v>
      </c>
      <c r="F28" s="66" t="s">
        <v>133</v>
      </c>
      <c r="G28" s="138" t="s">
        <v>134</v>
      </c>
    </row>
    <row r="29" spans="1:7" ht="14.5">
      <c r="A29" s="202">
        <v>45743</v>
      </c>
      <c r="B29" s="151">
        <v>45743</v>
      </c>
      <c r="C29" s="129" t="s">
        <v>120</v>
      </c>
      <c r="D29" s="66" t="s">
        <v>171</v>
      </c>
      <c r="E29" s="96">
        <v>12500</v>
      </c>
      <c r="F29" s="66" t="s">
        <v>133</v>
      </c>
      <c r="G29" s="138" t="s">
        <v>134</v>
      </c>
    </row>
    <row r="30" spans="1:7" ht="14.5">
      <c r="A30" s="202">
        <v>45743</v>
      </c>
      <c r="B30" s="151">
        <v>45743</v>
      </c>
      <c r="C30" s="129" t="s">
        <v>120</v>
      </c>
      <c r="D30" s="66" t="s">
        <v>172</v>
      </c>
      <c r="E30" s="96">
        <v>226000</v>
      </c>
      <c r="F30" s="66" t="s">
        <v>133</v>
      </c>
      <c r="G30" s="138" t="s">
        <v>134</v>
      </c>
    </row>
    <row r="31" spans="1:7" ht="14.5">
      <c r="A31" s="202">
        <v>45743</v>
      </c>
      <c r="B31" s="151">
        <v>45743</v>
      </c>
      <c r="C31" s="134" t="s">
        <v>173</v>
      </c>
      <c r="D31" s="66" t="s">
        <v>174</v>
      </c>
      <c r="E31" s="96">
        <v>5905200</v>
      </c>
      <c r="F31" s="66" t="s">
        <v>137</v>
      </c>
      <c r="G31" s="138" t="s">
        <v>134</v>
      </c>
    </row>
    <row r="32" spans="1:7" ht="14.5">
      <c r="A32" s="25"/>
      <c r="B32" s="7"/>
      <c r="C32" s="10"/>
      <c r="D32" s="69"/>
      <c r="E32" s="52"/>
      <c r="F32" s="10"/>
      <c r="G32" s="10"/>
    </row>
    <row r="33" spans="1:7" ht="14.5">
      <c r="A33" s="25"/>
      <c r="B33" s="7"/>
      <c r="C33" s="10"/>
      <c r="D33" s="69"/>
      <c r="E33" s="52"/>
      <c r="F33" s="10"/>
      <c r="G33" s="10"/>
    </row>
    <row r="34" spans="1:7" ht="14.5">
      <c r="A34" s="25"/>
      <c r="B34" s="7"/>
      <c r="C34" s="12"/>
      <c r="D34" s="69"/>
      <c r="E34" s="52"/>
      <c r="F34" s="10"/>
      <c r="G34" s="10"/>
    </row>
    <row r="35" spans="1:7" ht="14.5">
      <c r="A35" s="25"/>
      <c r="B35" s="7"/>
      <c r="C35" s="11"/>
      <c r="D35" s="69"/>
      <c r="E35" s="52"/>
      <c r="F35" s="10"/>
      <c r="G35" s="10"/>
    </row>
    <row r="36" spans="1:7" ht="14.5">
      <c r="A36" s="25"/>
      <c r="B36" s="7"/>
      <c r="C36" s="12"/>
      <c r="D36" s="69"/>
      <c r="E36" s="52"/>
      <c r="F36" s="10"/>
      <c r="G36" s="10"/>
    </row>
    <row r="37" spans="1:7" ht="14.5">
      <c r="A37" s="25"/>
      <c r="B37" s="7"/>
      <c r="C37" s="10"/>
      <c r="D37" s="69"/>
      <c r="E37" s="52"/>
      <c r="F37" s="10"/>
      <c r="G37" s="10"/>
    </row>
    <row r="38" spans="1:7" ht="14.5">
      <c r="A38" s="25"/>
      <c r="B38" s="7"/>
      <c r="C38" s="10"/>
      <c r="D38" s="69"/>
      <c r="E38" s="52"/>
      <c r="F38" s="10"/>
      <c r="G38" s="10"/>
    </row>
    <row r="39" spans="1:7" ht="14.5">
      <c r="A39" s="25"/>
      <c r="B39" s="7"/>
      <c r="C39" s="10"/>
      <c r="D39" s="69"/>
      <c r="E39" s="52"/>
      <c r="F39" s="10"/>
      <c r="G39" s="10"/>
    </row>
    <row r="40" spans="1:7" ht="14.5">
      <c r="A40" s="25"/>
      <c r="B40" s="7"/>
      <c r="C40" s="10"/>
      <c r="D40" s="69"/>
      <c r="E40" s="52"/>
      <c r="F40" s="10"/>
      <c r="G40" s="10"/>
    </row>
    <row r="41" spans="1:7" ht="14.5">
      <c r="A41" s="25"/>
      <c r="B41" s="7"/>
      <c r="C41" s="10"/>
      <c r="D41" s="69"/>
      <c r="E41" s="52"/>
      <c r="F41" s="10"/>
      <c r="G41" s="10"/>
    </row>
    <row r="42" spans="1:7" ht="14.5">
      <c r="A42" s="25"/>
      <c r="B42" s="7"/>
      <c r="C42" s="10"/>
      <c r="D42" s="69"/>
      <c r="E42" s="52"/>
      <c r="F42" s="10"/>
      <c r="G42" s="10"/>
    </row>
    <row r="43" spans="1:7" ht="14.5">
      <c r="A43" s="25"/>
      <c r="B43" s="7"/>
      <c r="C43" s="10"/>
      <c r="D43" s="69"/>
      <c r="E43" s="52"/>
      <c r="F43" s="10"/>
      <c r="G43" s="10"/>
    </row>
    <row r="44" spans="1:7" ht="14.5">
      <c r="A44" s="25"/>
      <c r="B44" s="7"/>
      <c r="C44" s="12"/>
      <c r="D44" s="69"/>
      <c r="E44" s="52"/>
      <c r="F44" s="10"/>
      <c r="G44" s="10"/>
    </row>
    <row r="45" spans="1:7" ht="14.5">
      <c r="A45" s="25"/>
      <c r="B45" s="7"/>
      <c r="C45" s="2"/>
      <c r="D45" s="70"/>
      <c r="E45" s="45"/>
      <c r="F45" s="10"/>
      <c r="G45" s="10"/>
    </row>
    <row r="46" spans="1:7" ht="14.5">
      <c r="A46" s="25"/>
      <c r="B46" s="7"/>
      <c r="C46" s="10"/>
      <c r="D46" s="69"/>
      <c r="E46" s="53"/>
      <c r="F46" s="10"/>
      <c r="G46" s="10"/>
    </row>
    <row r="47" spans="1:7" ht="14.5">
      <c r="A47" s="25"/>
      <c r="B47" s="7"/>
      <c r="C47" s="12"/>
      <c r="D47" s="69"/>
      <c r="E47" s="52"/>
      <c r="F47" s="10"/>
      <c r="G47" s="10"/>
    </row>
    <row r="48" spans="1:7" ht="14.5">
      <c r="A48" s="25"/>
      <c r="B48" s="7"/>
      <c r="C48" s="12"/>
      <c r="D48" s="69"/>
      <c r="E48" s="48"/>
      <c r="F48" s="10"/>
      <c r="G48" s="10"/>
    </row>
    <row r="49" spans="1:7" ht="14.5">
      <c r="A49" s="25"/>
      <c r="B49" s="7"/>
      <c r="C49" s="12"/>
      <c r="D49" s="69"/>
      <c r="E49" s="48"/>
      <c r="F49" s="10"/>
      <c r="G49" s="10"/>
    </row>
    <row r="50" spans="1:7" ht="14.5">
      <c r="A50" s="25"/>
      <c r="B50" s="7"/>
      <c r="C50" s="12"/>
      <c r="D50" s="69"/>
      <c r="E50" s="48"/>
      <c r="F50" s="10"/>
      <c r="G50" s="10"/>
    </row>
    <row r="51" spans="1:7" ht="14.5">
      <c r="A51" s="25"/>
      <c r="B51" s="7"/>
      <c r="C51" s="12"/>
      <c r="D51" s="69"/>
      <c r="E51" s="52"/>
      <c r="F51" s="10"/>
      <c r="G51" s="10"/>
    </row>
    <row r="52" spans="1:7" ht="14.5">
      <c r="A52" s="25"/>
      <c r="B52" s="7"/>
      <c r="C52" s="12"/>
      <c r="D52" s="69"/>
      <c r="E52" s="52"/>
      <c r="F52" s="10"/>
      <c r="G52" s="10"/>
    </row>
    <row r="53" spans="1:7" ht="14.5">
      <c r="A53" s="6"/>
      <c r="B53" s="7"/>
      <c r="C53" s="8"/>
      <c r="D53" s="70"/>
      <c r="E53" s="44"/>
      <c r="F53" s="10"/>
      <c r="G53" s="10"/>
    </row>
    <row r="54" spans="1:7" ht="14.5">
      <c r="A54" s="25"/>
      <c r="B54" s="7"/>
      <c r="C54" s="12"/>
      <c r="D54" s="69"/>
      <c r="E54" s="52"/>
      <c r="F54" s="10"/>
      <c r="G54" s="10"/>
    </row>
    <row r="55" spans="1:7" ht="14.5">
      <c r="A55" s="25"/>
      <c r="B55" s="7"/>
      <c r="C55" s="12"/>
      <c r="D55" s="69"/>
      <c r="E55" s="52"/>
      <c r="F55" s="10"/>
      <c r="G55" s="10"/>
    </row>
    <row r="56" spans="1:7" ht="14.5">
      <c r="A56" s="25"/>
      <c r="B56" s="7"/>
      <c r="C56" s="12"/>
      <c r="D56" s="69"/>
      <c r="E56" s="52"/>
      <c r="F56" s="10"/>
      <c r="G56" s="10"/>
    </row>
    <row r="57" spans="1:7" ht="14.5">
      <c r="A57" s="25"/>
      <c r="B57" s="7"/>
      <c r="C57" s="12"/>
      <c r="D57" s="69"/>
      <c r="E57" s="52"/>
      <c r="F57" s="10"/>
      <c r="G57" s="10"/>
    </row>
    <row r="58" spans="1:7" ht="14.5">
      <c r="A58" s="25"/>
      <c r="B58" s="7"/>
      <c r="C58" s="12"/>
      <c r="D58" s="71"/>
      <c r="E58" s="48"/>
      <c r="F58" s="10"/>
      <c r="G58" s="10"/>
    </row>
    <row r="59" spans="1:7" ht="14.5">
      <c r="A59" s="25"/>
      <c r="B59" s="7"/>
      <c r="C59" s="10"/>
      <c r="D59" s="69"/>
      <c r="E59" s="52"/>
      <c r="F59" s="10"/>
      <c r="G59" s="10"/>
    </row>
    <row r="60" spans="1:7" ht="14.5">
      <c r="A60" s="25"/>
      <c r="B60" s="7"/>
      <c r="C60" s="10"/>
      <c r="D60" s="69"/>
      <c r="E60" s="52"/>
      <c r="F60" s="10"/>
      <c r="G60" s="10"/>
    </row>
    <row r="61" spans="1:7" ht="14.5">
      <c r="A61" s="25"/>
      <c r="B61" s="7"/>
      <c r="C61" s="10"/>
      <c r="D61" s="69"/>
      <c r="E61" s="52"/>
      <c r="F61" s="10"/>
      <c r="G61" s="10"/>
    </row>
    <row r="62" spans="1:7" ht="14.5">
      <c r="A62" s="25"/>
      <c r="B62" s="7"/>
      <c r="C62" s="10"/>
      <c r="D62" s="69"/>
      <c r="E62" s="52"/>
      <c r="F62" s="10"/>
      <c r="G62" s="10"/>
    </row>
    <row r="63" spans="1:7" ht="14.5">
      <c r="A63" s="6"/>
      <c r="B63" s="7"/>
      <c r="C63" s="2"/>
      <c r="D63" s="70"/>
      <c r="E63" s="53"/>
      <c r="F63" s="10"/>
      <c r="G63" s="10"/>
    </row>
    <row r="64" spans="1:7" ht="14.5">
      <c r="A64" s="25"/>
      <c r="B64" s="7"/>
      <c r="C64" s="10"/>
      <c r="D64" s="69"/>
      <c r="E64" s="52"/>
      <c r="F64" s="10"/>
      <c r="G64" s="10"/>
    </row>
    <row r="65" spans="1:7" ht="14.5">
      <c r="A65" s="25"/>
      <c r="B65" s="7"/>
      <c r="C65" s="10"/>
      <c r="D65" s="69"/>
      <c r="E65" s="52"/>
      <c r="F65" s="10"/>
      <c r="G65" s="10"/>
    </row>
    <row r="66" spans="1:7" ht="14.5">
      <c r="A66" s="25"/>
      <c r="B66" s="7"/>
      <c r="C66" s="10"/>
      <c r="D66" s="69"/>
      <c r="E66" s="52"/>
      <c r="F66" s="10"/>
      <c r="G66" s="10"/>
    </row>
    <row r="67" spans="1:7" ht="14.5">
      <c r="A67" s="25"/>
      <c r="B67" s="7"/>
      <c r="C67" s="10"/>
      <c r="D67" s="69"/>
      <c r="E67" s="52"/>
      <c r="F67" s="10"/>
      <c r="G67" s="10"/>
    </row>
    <row r="68" spans="1:7" ht="14.5">
      <c r="A68" s="25"/>
      <c r="B68" s="7"/>
      <c r="C68" s="10"/>
      <c r="D68" s="69"/>
      <c r="E68" s="52"/>
      <c r="F68" s="10"/>
      <c r="G68" s="10"/>
    </row>
    <row r="69" spans="1:7" ht="14.5">
      <c r="A69" s="25"/>
      <c r="B69" s="7"/>
      <c r="C69" s="12"/>
      <c r="D69" s="69"/>
      <c r="E69" s="52"/>
      <c r="F69" s="10"/>
      <c r="G69" s="10"/>
    </row>
    <row r="70" spans="1:7" ht="14.5">
      <c r="A70" s="25"/>
      <c r="B70" s="7"/>
      <c r="C70" s="12"/>
      <c r="D70" s="69"/>
      <c r="E70" s="52"/>
      <c r="F70" s="10"/>
      <c r="G70" s="10"/>
    </row>
    <row r="71" spans="1:7" ht="14.5">
      <c r="A71" s="25"/>
      <c r="B71" s="7"/>
      <c r="C71" s="12"/>
      <c r="D71" s="69"/>
      <c r="E71" s="52"/>
      <c r="F71" s="10"/>
      <c r="G71" s="10"/>
    </row>
    <row r="72" spans="1:7" ht="14.5">
      <c r="A72" s="25"/>
      <c r="B72" s="7"/>
      <c r="C72" s="12"/>
      <c r="D72" s="69"/>
      <c r="E72" s="48"/>
      <c r="F72" s="10"/>
      <c r="G72" s="10"/>
    </row>
    <row r="73" spans="1:7" ht="14.5">
      <c r="A73" s="25"/>
      <c r="B73" s="7"/>
      <c r="C73" s="12"/>
      <c r="D73" s="69"/>
      <c r="E73" s="48"/>
      <c r="F73" s="10"/>
      <c r="G73" s="10"/>
    </row>
    <row r="74" spans="1:7" ht="14.5">
      <c r="A74" s="25"/>
      <c r="B74" s="7"/>
      <c r="C74" s="12"/>
      <c r="D74" s="69"/>
      <c r="E74" s="48"/>
      <c r="F74" s="10"/>
      <c r="G74" s="10"/>
    </row>
    <row r="75" spans="1:7" ht="14.5">
      <c r="A75" s="25"/>
      <c r="B75" s="7"/>
      <c r="C75" s="12"/>
      <c r="D75" s="69"/>
      <c r="E75" s="48"/>
      <c r="F75" s="10"/>
      <c r="G75" s="10"/>
    </row>
    <row r="76" spans="1:7" ht="14.5">
      <c r="A76" s="25"/>
      <c r="B76" s="7"/>
      <c r="C76" s="12"/>
      <c r="D76" s="69"/>
      <c r="E76" s="48"/>
      <c r="F76" s="10"/>
      <c r="G76" s="10"/>
    </row>
    <row r="77" spans="1:7" ht="14.5">
      <c r="A77" s="25"/>
      <c r="B77" s="7"/>
      <c r="C77" s="12"/>
      <c r="D77" s="69"/>
      <c r="E77" s="46"/>
      <c r="F77" s="10"/>
      <c r="G77" s="10"/>
    </row>
    <row r="78" spans="1:7" ht="14.5">
      <c r="A78" s="22"/>
      <c r="B78" s="7"/>
      <c r="C78" s="12"/>
      <c r="D78" s="71"/>
      <c r="E78" s="48"/>
      <c r="F78" s="10"/>
      <c r="G78" s="10"/>
    </row>
    <row r="79" spans="1:7" ht="14.5">
      <c r="A79" s="25"/>
      <c r="B79" s="7"/>
      <c r="C79" s="12"/>
      <c r="D79" s="69"/>
      <c r="E79" s="52"/>
      <c r="F79" s="10"/>
      <c r="G79" s="10"/>
    </row>
    <row r="80" spans="1:7" ht="14.5">
      <c r="A80" s="22"/>
      <c r="B80" s="7"/>
      <c r="C80" s="2"/>
      <c r="D80" s="69"/>
      <c r="E80" s="53"/>
      <c r="F80" s="10"/>
      <c r="G80" s="10"/>
    </row>
    <row r="81" spans="1:7" ht="14.5">
      <c r="A81" s="22"/>
      <c r="B81" s="7"/>
      <c r="C81" s="10"/>
      <c r="D81" s="69"/>
      <c r="E81" s="53"/>
      <c r="F81" s="10"/>
      <c r="G81" s="10"/>
    </row>
    <row r="82" spans="1:7" ht="14.5">
      <c r="A82" s="22"/>
      <c r="B82" s="7"/>
      <c r="C82" s="10"/>
      <c r="D82" s="69"/>
      <c r="E82" s="53"/>
      <c r="F82" s="10"/>
      <c r="G82" s="10"/>
    </row>
    <row r="83" spans="1:7" ht="14.5">
      <c r="A83" s="22"/>
      <c r="B83" s="7"/>
      <c r="C83" s="10"/>
      <c r="D83" s="69"/>
      <c r="E83" s="53"/>
      <c r="F83" s="10"/>
      <c r="G83" s="10"/>
    </row>
    <row r="84" spans="1:7" ht="14.5">
      <c r="A84" s="22"/>
      <c r="B84" s="7"/>
      <c r="C84" s="10"/>
      <c r="D84" s="69"/>
      <c r="E84" s="53"/>
      <c r="F84" s="10"/>
      <c r="G84" s="10"/>
    </row>
    <row r="85" spans="1:7" ht="14.5">
      <c r="A85" s="22"/>
      <c r="B85" s="7"/>
      <c r="C85" s="10"/>
      <c r="D85" s="69"/>
      <c r="E85" s="53"/>
      <c r="F85" s="10"/>
      <c r="G85" s="10"/>
    </row>
    <row r="86" spans="1:7" ht="14.5">
      <c r="A86" s="22"/>
      <c r="B86" s="7"/>
      <c r="C86" s="10"/>
      <c r="D86" s="69"/>
      <c r="E86" s="53"/>
      <c r="F86" s="10"/>
      <c r="G86" s="10"/>
    </row>
    <row r="87" spans="1:7" ht="14.5">
      <c r="A87" s="22"/>
      <c r="B87" s="7"/>
      <c r="C87" s="10"/>
      <c r="D87" s="69"/>
      <c r="E87" s="53"/>
      <c r="F87" s="10"/>
      <c r="G87" s="10"/>
    </row>
    <row r="88" spans="1:7" ht="14.5">
      <c r="A88" s="22"/>
      <c r="B88" s="7"/>
      <c r="C88" s="10"/>
      <c r="D88" s="69"/>
      <c r="E88" s="53"/>
      <c r="F88" s="10"/>
      <c r="G88" s="10"/>
    </row>
    <row r="89" spans="1:7" ht="14.5">
      <c r="A89" s="22"/>
      <c r="B89" s="7"/>
      <c r="C89" s="10"/>
      <c r="D89" s="69"/>
      <c r="E89" s="53"/>
      <c r="F89" s="10"/>
      <c r="G89" s="10"/>
    </row>
    <row r="90" spans="1:7" ht="14.5">
      <c r="A90" s="6"/>
      <c r="B90" s="7"/>
      <c r="C90" s="10"/>
      <c r="D90" s="69"/>
      <c r="E90" s="53"/>
      <c r="F90" s="10"/>
      <c r="G90" s="10"/>
    </row>
    <row r="91" spans="1:7" ht="14.5">
      <c r="A91" s="6"/>
      <c r="B91" s="7"/>
      <c r="C91" s="10"/>
      <c r="D91" s="69"/>
      <c r="E91" s="53"/>
      <c r="F91" s="10"/>
      <c r="G91" s="10"/>
    </row>
    <row r="92" spans="1:7" ht="14.5">
      <c r="A92" s="6"/>
      <c r="B92" s="7"/>
      <c r="C92" s="10"/>
      <c r="D92" s="69"/>
      <c r="E92" s="53"/>
      <c r="F92" s="10"/>
      <c r="G92" s="10"/>
    </row>
    <row r="93" spans="1:7" ht="14.5">
      <c r="A93" s="6"/>
      <c r="B93" s="7"/>
      <c r="C93" s="10"/>
      <c r="D93" s="69"/>
      <c r="E93" s="53"/>
      <c r="F93" s="10"/>
      <c r="G93" s="10"/>
    </row>
    <row r="94" spans="1:7" ht="14.5">
      <c r="A94" s="6"/>
      <c r="B94" s="7"/>
      <c r="C94" s="10"/>
      <c r="D94" s="69"/>
      <c r="E94" s="53"/>
      <c r="F94" s="10"/>
      <c r="G94" s="10"/>
    </row>
    <row r="95" spans="1:7" ht="14.5">
      <c r="A95" s="6"/>
      <c r="B95" s="7"/>
      <c r="C95" s="10"/>
      <c r="D95" s="69"/>
      <c r="E95" s="53"/>
      <c r="F95" s="10"/>
      <c r="G95" s="10"/>
    </row>
    <row r="96" spans="1:7" ht="14.5">
      <c r="A96" s="6"/>
      <c r="B96" s="7"/>
      <c r="C96" s="10"/>
      <c r="D96" s="69"/>
      <c r="E96" s="53"/>
      <c r="F96" s="10"/>
      <c r="G96" s="10"/>
    </row>
    <row r="97" spans="1:7" ht="14.5">
      <c r="A97" s="6"/>
      <c r="B97" s="7"/>
      <c r="C97" s="10"/>
      <c r="D97" s="69"/>
      <c r="E97" s="53"/>
      <c r="F97" s="10"/>
      <c r="G97" s="10"/>
    </row>
    <row r="98" spans="1:7" ht="18.75" customHeight="1">
      <c r="A98" s="6"/>
      <c r="B98" s="7"/>
      <c r="C98" s="10"/>
      <c r="D98" s="69"/>
      <c r="E98" s="53"/>
      <c r="F98" s="10"/>
      <c r="G98" s="10"/>
    </row>
    <row r="99" spans="1:7" ht="14.5">
      <c r="A99" s="6"/>
      <c r="B99" s="7"/>
      <c r="C99" s="10"/>
      <c r="D99" s="69"/>
      <c r="E99" s="53"/>
      <c r="F99" s="10"/>
      <c r="G99" s="10"/>
    </row>
    <row r="100" spans="1:7" ht="14.5">
      <c r="A100" s="6"/>
      <c r="B100" s="7"/>
      <c r="C100" s="10"/>
      <c r="D100" s="69"/>
      <c r="E100" s="53"/>
      <c r="F100" s="10"/>
      <c r="G100" s="10"/>
    </row>
    <row r="101" spans="1:7" ht="14.5">
      <c r="A101" s="6"/>
      <c r="B101" s="7"/>
      <c r="C101" s="10"/>
      <c r="D101" s="69"/>
      <c r="E101" s="53"/>
      <c r="F101" s="10"/>
      <c r="G101" s="10"/>
    </row>
    <row r="102" spans="1:7" ht="14.5">
      <c r="A102" s="6"/>
      <c r="B102" s="7"/>
      <c r="C102" s="10"/>
      <c r="D102" s="69"/>
      <c r="E102" s="53"/>
      <c r="F102" s="10"/>
      <c r="G102" s="10"/>
    </row>
    <row r="103" spans="1:7" ht="14.5">
      <c r="A103" s="28"/>
      <c r="B103" s="7"/>
      <c r="C103" s="10"/>
      <c r="D103" s="69"/>
      <c r="E103" s="53"/>
      <c r="F103" s="10"/>
      <c r="G103" s="10"/>
    </row>
    <row r="104" spans="1:7" ht="14.5">
      <c r="A104" s="22"/>
      <c r="B104" s="7"/>
      <c r="C104" s="12"/>
      <c r="D104" s="69"/>
      <c r="E104" s="46"/>
      <c r="F104" s="10"/>
      <c r="G104" s="10"/>
    </row>
    <row r="105" spans="1:7" ht="14.5">
      <c r="A105" s="22"/>
      <c r="B105" s="7"/>
      <c r="C105" s="12"/>
      <c r="D105" s="69"/>
      <c r="E105" s="48"/>
      <c r="F105" s="10"/>
      <c r="G105" s="10"/>
    </row>
    <row r="106" spans="1:7" ht="14.5">
      <c r="A106" s="22"/>
      <c r="B106" s="7"/>
      <c r="C106" s="12"/>
      <c r="D106" s="69"/>
      <c r="E106" s="48"/>
      <c r="F106" s="10"/>
      <c r="G106" s="10"/>
    </row>
    <row r="107" spans="1:7" ht="14.5">
      <c r="A107" s="22"/>
      <c r="B107" s="7"/>
      <c r="C107" s="12"/>
      <c r="D107" s="69"/>
      <c r="E107" s="48"/>
      <c r="F107" s="10"/>
      <c r="G107" s="10"/>
    </row>
    <row r="108" spans="1:7" ht="14.5">
      <c r="A108" s="22"/>
      <c r="B108" s="7"/>
      <c r="C108" s="12"/>
      <c r="D108" s="69"/>
      <c r="E108" s="48"/>
      <c r="F108" s="10"/>
      <c r="G108" s="10"/>
    </row>
    <row r="109" spans="1:7" ht="14.5">
      <c r="A109" s="22"/>
      <c r="B109" s="7"/>
      <c r="C109" s="12"/>
      <c r="D109" s="69"/>
      <c r="E109" s="48"/>
      <c r="F109" s="10"/>
      <c r="G109" s="10"/>
    </row>
    <row r="110" spans="1:7" ht="14.5">
      <c r="A110" s="22"/>
      <c r="B110" s="7"/>
      <c r="C110" s="12"/>
      <c r="D110" s="69"/>
      <c r="E110" s="48"/>
      <c r="F110" s="10"/>
      <c r="G110" s="10"/>
    </row>
    <row r="111" spans="1:7" ht="15.75" customHeight="1">
      <c r="A111" s="221"/>
      <c r="B111" s="7"/>
      <c r="C111" s="222"/>
      <c r="D111" s="228"/>
      <c r="E111" s="224"/>
      <c r="F111" s="10"/>
      <c r="G111" s="10"/>
    </row>
    <row r="112" spans="1:7" ht="15.75" customHeight="1">
      <c r="A112" s="221"/>
      <c r="B112" s="7"/>
      <c r="C112" s="222"/>
      <c r="D112" s="228"/>
      <c r="E112" s="224"/>
      <c r="F112" s="10"/>
      <c r="G112" s="10"/>
    </row>
    <row r="113" spans="1:7" ht="15.75" customHeight="1">
      <c r="A113" s="221"/>
      <c r="B113" s="7"/>
      <c r="C113" s="222"/>
      <c r="D113" s="228"/>
      <c r="E113" s="224"/>
      <c r="F113" s="10"/>
      <c r="G113" s="10"/>
    </row>
    <row r="114" spans="1:7" ht="15.75" customHeight="1">
      <c r="A114" s="221"/>
      <c r="B114" s="7"/>
      <c r="C114" s="222"/>
      <c r="D114" s="228"/>
      <c r="E114" s="224"/>
      <c r="F114" s="10"/>
      <c r="G114" s="10"/>
    </row>
    <row r="115" spans="1:7" ht="15.75" customHeight="1">
      <c r="A115" s="221"/>
      <c r="B115" s="7"/>
      <c r="C115" s="40"/>
      <c r="D115" s="72"/>
      <c r="E115" s="42"/>
      <c r="F115" s="10"/>
      <c r="G115" s="10"/>
    </row>
    <row r="116" spans="1:7" ht="15.75" customHeight="1">
      <c r="A116" s="221"/>
      <c r="B116" s="7"/>
      <c r="C116" s="41"/>
      <c r="D116" s="72"/>
      <c r="E116" s="43"/>
      <c r="F116" s="10"/>
      <c r="G116" s="10"/>
    </row>
    <row r="117" spans="1:7" ht="15.75" customHeight="1">
      <c r="A117" s="221"/>
      <c r="B117" s="7"/>
      <c r="C117" s="41"/>
      <c r="D117" s="72"/>
      <c r="E117" s="43"/>
      <c r="F117" s="10"/>
      <c r="G117" s="10"/>
    </row>
    <row r="118" spans="1:7" ht="15.75" customHeight="1">
      <c r="A118" s="221"/>
      <c r="B118" s="7"/>
      <c r="C118" s="41"/>
      <c r="D118" s="72"/>
      <c r="E118" s="43"/>
      <c r="F118" s="10"/>
      <c r="G118" s="10"/>
    </row>
    <row r="119" spans="1:7" ht="15.75" customHeight="1">
      <c r="A119" s="221"/>
      <c r="B119" s="7"/>
      <c r="C119" s="41"/>
      <c r="D119" s="72"/>
      <c r="E119" s="43"/>
      <c r="F119" s="10"/>
      <c r="G119" s="226"/>
    </row>
    <row r="120" spans="1:7" ht="15.75" customHeight="1">
      <c r="A120" s="221"/>
      <c r="B120" s="7"/>
      <c r="C120" s="41"/>
      <c r="D120" s="72"/>
      <c r="E120" s="43"/>
      <c r="F120" s="10"/>
      <c r="G120" s="10"/>
    </row>
    <row r="121" spans="1:7" ht="15.75" customHeight="1">
      <c r="A121" s="221"/>
      <c r="B121" s="7"/>
      <c r="C121" s="41"/>
      <c r="D121" s="72"/>
      <c r="E121" s="43"/>
    </row>
  </sheetData>
  <dataValidations count="2">
    <dataValidation type="list" allowBlank="1" showErrorMessage="1" sqref="G120 G2:G118" xr:uid="{00000000-0002-0000-0100-000000000000}">
      <formula1>"Tangerang,Yogyakarta"</formula1>
    </dataValidation>
    <dataValidation type="list" allowBlank="1" showErrorMessage="1" sqref="F2:F120" xr:uid="{00000000-0002-0000-0100-000001000000}">
      <formula1>"Office Renovation,Service &amp; Maintenance,Building Material,ME Materials,Environtment,Office Furniture"</formula1>
    </dataValidation>
  </dataValidation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79"/>
  <sheetViews>
    <sheetView showGridLines="0" workbookViewId="0">
      <selection sqref="A1:F17"/>
    </sheetView>
  </sheetViews>
  <sheetFormatPr defaultColWidth="12.54296875" defaultRowHeight="15.75" customHeight="1"/>
  <cols>
    <col min="1" max="1" width="12.54296875" style="39"/>
    <col min="2" max="2" width="23.26953125" customWidth="1"/>
    <col min="3" max="3" width="80.81640625" customWidth="1"/>
    <col min="4" max="4" width="17" customWidth="1"/>
    <col min="5" max="5" width="15" customWidth="1"/>
    <col min="6" max="6" width="32.54296875" customWidth="1"/>
  </cols>
  <sheetData>
    <row r="1" spans="1:7" ht="14.5">
      <c r="A1" s="214" t="s">
        <v>0</v>
      </c>
      <c r="B1" s="75" t="s">
        <v>175</v>
      </c>
      <c r="C1" s="75" t="s">
        <v>3</v>
      </c>
      <c r="D1" s="215" t="s">
        <v>4</v>
      </c>
      <c r="E1" s="215" t="s">
        <v>176</v>
      </c>
      <c r="F1" s="215" t="s">
        <v>177</v>
      </c>
    </row>
    <row r="2" spans="1:7" ht="14.5">
      <c r="A2" s="216">
        <v>45658</v>
      </c>
      <c r="B2" s="66" t="s">
        <v>178</v>
      </c>
      <c r="C2" s="66" t="s">
        <v>179</v>
      </c>
      <c r="D2" s="217">
        <v>204098</v>
      </c>
      <c r="E2" s="218">
        <v>61010645</v>
      </c>
      <c r="F2" s="66" t="s">
        <v>180</v>
      </c>
    </row>
    <row r="3" spans="1:7" ht="14.5">
      <c r="A3" s="216">
        <v>45658</v>
      </c>
      <c r="B3" s="66" t="s">
        <v>178</v>
      </c>
      <c r="C3" s="66" t="s">
        <v>181</v>
      </c>
      <c r="D3" s="217">
        <v>775000</v>
      </c>
      <c r="E3" s="218">
        <v>61010645</v>
      </c>
      <c r="F3" s="66" t="s">
        <v>180</v>
      </c>
    </row>
    <row r="4" spans="1:7" ht="14.5">
      <c r="A4" s="216">
        <v>45689</v>
      </c>
      <c r="B4" s="219" t="s">
        <v>182</v>
      </c>
      <c r="C4" s="117" t="s">
        <v>183</v>
      </c>
      <c r="D4" s="217">
        <v>814000</v>
      </c>
      <c r="E4" s="218">
        <v>61010645</v>
      </c>
      <c r="F4" s="66" t="s">
        <v>180</v>
      </c>
    </row>
    <row r="5" spans="1:7" ht="14.5">
      <c r="A5" s="216">
        <v>45689</v>
      </c>
      <c r="B5" s="219" t="s">
        <v>182</v>
      </c>
      <c r="C5" s="117" t="s">
        <v>184</v>
      </c>
      <c r="D5" s="217">
        <v>19500000</v>
      </c>
      <c r="E5" s="218">
        <v>61010645</v>
      </c>
      <c r="F5" s="66" t="s">
        <v>180</v>
      </c>
    </row>
    <row r="6" spans="1:7" ht="14.5">
      <c r="A6" s="216">
        <v>45689</v>
      </c>
      <c r="B6" s="219" t="s">
        <v>182</v>
      </c>
      <c r="C6" s="117" t="s">
        <v>185</v>
      </c>
      <c r="D6" s="217">
        <v>1330000</v>
      </c>
      <c r="E6" s="218">
        <v>61010645</v>
      </c>
      <c r="F6" s="66" t="s">
        <v>180</v>
      </c>
    </row>
    <row r="7" spans="1:7" ht="14.5">
      <c r="A7" s="216">
        <v>45689</v>
      </c>
      <c r="B7" s="219" t="s">
        <v>182</v>
      </c>
      <c r="C7" s="117" t="s">
        <v>186</v>
      </c>
      <c r="D7" s="217">
        <v>455932</v>
      </c>
      <c r="E7" s="218">
        <v>61010645</v>
      </c>
      <c r="F7" s="66" t="s">
        <v>180</v>
      </c>
      <c r="G7" s="168"/>
    </row>
    <row r="8" spans="1:7" ht="14.5">
      <c r="A8" s="216">
        <v>45689</v>
      </c>
      <c r="B8" s="219" t="s">
        <v>182</v>
      </c>
      <c r="C8" s="117" t="s">
        <v>187</v>
      </c>
      <c r="D8" s="217">
        <v>800000</v>
      </c>
      <c r="E8" s="218">
        <v>61010645</v>
      </c>
      <c r="F8" s="66" t="s">
        <v>180</v>
      </c>
      <c r="G8" s="168"/>
    </row>
    <row r="9" spans="1:7" ht="14.5">
      <c r="A9" s="216">
        <v>45689</v>
      </c>
      <c r="B9" s="219" t="s">
        <v>182</v>
      </c>
      <c r="C9" s="117" t="s">
        <v>188</v>
      </c>
      <c r="D9" s="217">
        <v>125370</v>
      </c>
      <c r="E9" s="218">
        <v>61010645</v>
      </c>
      <c r="F9" s="66" t="s">
        <v>180</v>
      </c>
      <c r="G9" s="168"/>
    </row>
    <row r="10" spans="1:7" ht="14.5">
      <c r="A10" s="216">
        <v>45689</v>
      </c>
      <c r="B10" s="219" t="s">
        <v>182</v>
      </c>
      <c r="C10" s="117" t="s">
        <v>189</v>
      </c>
      <c r="D10" s="217">
        <v>152764</v>
      </c>
      <c r="E10" s="218">
        <v>61010645</v>
      </c>
      <c r="F10" s="66" t="s">
        <v>180</v>
      </c>
      <c r="G10" s="168"/>
    </row>
    <row r="11" spans="1:7" ht="14.5">
      <c r="A11" s="216">
        <v>45689</v>
      </c>
      <c r="B11" s="219" t="s">
        <v>182</v>
      </c>
      <c r="C11" s="117" t="s">
        <v>190</v>
      </c>
      <c r="D11" s="217">
        <v>282250</v>
      </c>
      <c r="E11" s="218">
        <v>61010645</v>
      </c>
      <c r="F11" s="66" t="s">
        <v>180</v>
      </c>
      <c r="G11" s="168"/>
    </row>
    <row r="12" spans="1:7" ht="14.5">
      <c r="A12" s="216">
        <v>45689</v>
      </c>
      <c r="B12" s="219" t="s">
        <v>182</v>
      </c>
      <c r="C12" s="117" t="s">
        <v>191</v>
      </c>
      <c r="D12" s="217">
        <v>276645</v>
      </c>
      <c r="E12" s="218">
        <v>61010645</v>
      </c>
      <c r="F12" s="66" t="s">
        <v>180</v>
      </c>
      <c r="G12" s="168"/>
    </row>
    <row r="13" spans="1:7" ht="14.5">
      <c r="A13" s="216">
        <v>45689</v>
      </c>
      <c r="B13" s="219" t="s">
        <v>182</v>
      </c>
      <c r="C13" s="117" t="s">
        <v>192</v>
      </c>
      <c r="D13" s="217">
        <v>121700</v>
      </c>
      <c r="E13" s="218">
        <v>61010645</v>
      </c>
      <c r="F13" s="66" t="s">
        <v>180</v>
      </c>
      <c r="G13" s="168"/>
    </row>
    <row r="14" spans="1:7" ht="14.5">
      <c r="A14" s="216">
        <v>45689</v>
      </c>
      <c r="B14" s="219" t="s">
        <v>182</v>
      </c>
      <c r="C14" s="117" t="s">
        <v>193</v>
      </c>
      <c r="D14" s="217">
        <v>242700</v>
      </c>
      <c r="E14" s="218">
        <v>61010645</v>
      </c>
      <c r="F14" s="66" t="s">
        <v>180</v>
      </c>
      <c r="G14" s="168"/>
    </row>
    <row r="15" spans="1:7" ht="14.5">
      <c r="A15" s="216">
        <v>45689</v>
      </c>
      <c r="B15" s="219" t="s">
        <v>194</v>
      </c>
      <c r="C15" s="117" t="s">
        <v>195</v>
      </c>
      <c r="D15" s="217">
        <v>5923077</v>
      </c>
      <c r="E15" s="218">
        <v>61010645</v>
      </c>
      <c r="F15" s="66" t="s">
        <v>180</v>
      </c>
      <c r="G15" s="168"/>
    </row>
    <row r="16" spans="1:7" ht="14.5">
      <c r="A16" s="216">
        <v>45717</v>
      </c>
      <c r="B16" s="66" t="s">
        <v>196</v>
      </c>
      <c r="C16" s="117" t="s">
        <v>197</v>
      </c>
      <c r="D16" s="217">
        <v>36828000</v>
      </c>
      <c r="E16" s="218">
        <v>61010645</v>
      </c>
      <c r="F16" s="66" t="s">
        <v>180</v>
      </c>
    </row>
    <row r="17" spans="1:6" ht="14.5">
      <c r="A17" s="216">
        <v>45717</v>
      </c>
      <c r="B17" s="66" t="s">
        <v>196</v>
      </c>
      <c r="C17" s="66" t="s">
        <v>198</v>
      </c>
      <c r="D17" s="217">
        <v>2904000</v>
      </c>
      <c r="E17" s="218">
        <v>61010645</v>
      </c>
      <c r="F17" s="66" t="s">
        <v>180</v>
      </c>
    </row>
    <row r="18" spans="1:6" ht="14.5">
      <c r="A18" s="36"/>
      <c r="B18" s="10"/>
      <c r="C18" s="55"/>
      <c r="D18" s="26"/>
      <c r="E18" s="30"/>
      <c r="F18" s="10"/>
    </row>
    <row r="19" spans="1:6" ht="14.5">
      <c r="A19" s="37"/>
      <c r="B19" s="10"/>
      <c r="C19" s="55"/>
      <c r="D19" s="26"/>
      <c r="E19" s="30"/>
      <c r="F19" s="10"/>
    </row>
    <row r="20" spans="1:6" ht="14.5">
      <c r="A20" s="36"/>
      <c r="B20" s="10"/>
      <c r="C20" s="55"/>
      <c r="D20" s="26"/>
      <c r="E20" s="30"/>
      <c r="F20" s="10"/>
    </row>
    <row r="21" spans="1:6" ht="14.5">
      <c r="A21" s="36"/>
      <c r="B21" s="10"/>
      <c r="C21" s="55"/>
      <c r="D21" s="26"/>
      <c r="E21" s="30"/>
      <c r="F21" s="10"/>
    </row>
    <row r="22" spans="1:6" ht="14.5">
      <c r="A22" s="37"/>
      <c r="B22" s="10"/>
      <c r="C22" s="55"/>
      <c r="D22" s="26"/>
      <c r="E22" s="30"/>
      <c r="F22" s="10"/>
    </row>
    <row r="23" spans="1:6" ht="14.5">
      <c r="A23" s="36"/>
      <c r="B23" s="10"/>
      <c r="C23" s="10"/>
      <c r="D23" s="26"/>
      <c r="E23" s="30"/>
      <c r="F23" s="10"/>
    </row>
    <row r="24" spans="1:6" ht="14.5">
      <c r="A24" s="36"/>
      <c r="B24" s="10"/>
      <c r="C24" s="10"/>
      <c r="D24" s="26"/>
      <c r="E24" s="30"/>
      <c r="F24" s="10"/>
    </row>
    <row r="25" spans="1:6" ht="14.5">
      <c r="A25" s="36"/>
      <c r="B25" s="10"/>
      <c r="C25" s="10"/>
      <c r="D25" s="26"/>
      <c r="E25" s="30"/>
      <c r="F25" s="10"/>
    </row>
    <row r="26" spans="1:6" ht="14.5">
      <c r="A26" s="36"/>
      <c r="B26" s="10"/>
      <c r="C26" s="10"/>
      <c r="D26" s="26"/>
      <c r="E26" s="30"/>
      <c r="F26" s="10"/>
    </row>
    <row r="27" spans="1:6" ht="14.5">
      <c r="A27" s="36"/>
      <c r="B27" s="10"/>
      <c r="C27" s="10"/>
      <c r="D27" s="26"/>
      <c r="E27" s="30"/>
      <c r="F27" s="10"/>
    </row>
    <row r="28" spans="1:6" ht="14.5">
      <c r="A28" s="36"/>
      <c r="B28" s="10"/>
      <c r="C28" s="10"/>
      <c r="D28" s="26"/>
      <c r="E28" s="30"/>
      <c r="F28" s="10"/>
    </row>
    <row r="29" spans="1:6" ht="14.5">
      <c r="A29" s="36"/>
      <c r="B29" s="10"/>
      <c r="C29" s="10"/>
      <c r="D29" s="26"/>
      <c r="E29" s="30"/>
      <c r="F29" s="10"/>
    </row>
    <row r="30" spans="1:6" ht="14.5">
      <c r="A30" s="36"/>
      <c r="B30" s="10"/>
      <c r="C30" s="10"/>
      <c r="D30" s="26"/>
      <c r="E30" s="30"/>
      <c r="F30" s="10"/>
    </row>
    <row r="31" spans="1:6" ht="14.5">
      <c r="A31" s="36"/>
      <c r="B31" s="10"/>
      <c r="C31" s="10"/>
      <c r="D31" s="26"/>
      <c r="E31" s="30"/>
      <c r="F31" s="10"/>
    </row>
    <row r="32" spans="1:6" ht="14.5">
      <c r="A32" s="36"/>
      <c r="B32" s="10"/>
      <c r="C32" s="10"/>
      <c r="D32" s="26"/>
      <c r="E32" s="30"/>
      <c r="F32" s="10"/>
    </row>
    <row r="33" spans="1:6" ht="14.5">
      <c r="A33" s="36"/>
      <c r="B33" s="10"/>
      <c r="C33" s="10"/>
      <c r="D33" s="26"/>
      <c r="E33" s="30"/>
      <c r="F33" s="10"/>
    </row>
    <row r="34" spans="1:6" ht="14.5">
      <c r="A34" s="36"/>
      <c r="B34" s="10"/>
      <c r="C34" s="10"/>
      <c r="D34" s="26"/>
      <c r="E34" s="30"/>
      <c r="F34" s="10"/>
    </row>
    <row r="35" spans="1:6" ht="14.5">
      <c r="A35" s="36"/>
      <c r="B35" s="10"/>
      <c r="C35" s="10"/>
      <c r="D35" s="26"/>
      <c r="E35" s="30"/>
      <c r="F35" s="10"/>
    </row>
    <row r="36" spans="1:6" ht="14.5">
      <c r="A36" s="36"/>
      <c r="B36" s="10"/>
      <c r="C36" s="10"/>
      <c r="D36" s="26"/>
      <c r="E36" s="30"/>
      <c r="F36" s="10"/>
    </row>
    <row r="37" spans="1:6" ht="14.5">
      <c r="A37" s="36"/>
      <c r="B37" s="10"/>
      <c r="C37" s="10"/>
      <c r="D37" s="26"/>
      <c r="E37" s="30"/>
      <c r="F37" s="10"/>
    </row>
    <row r="38" spans="1:6" ht="14.5">
      <c r="A38" s="36"/>
      <c r="B38" s="10"/>
      <c r="C38" s="10"/>
      <c r="D38" s="26"/>
      <c r="E38" s="30"/>
      <c r="F38" s="10"/>
    </row>
    <row r="39" spans="1:6" ht="14.5">
      <c r="A39" s="36"/>
      <c r="B39" s="10"/>
      <c r="C39" s="10"/>
      <c r="D39" s="26"/>
      <c r="E39" s="30"/>
      <c r="F39" s="10"/>
    </row>
    <row r="40" spans="1:6" ht="14.5">
      <c r="A40" s="36"/>
      <c r="B40" s="10"/>
      <c r="C40" s="10"/>
      <c r="D40" s="26"/>
      <c r="E40" s="30"/>
      <c r="F40" s="10"/>
    </row>
    <row r="41" spans="1:6" ht="14.5">
      <c r="A41" s="36"/>
      <c r="B41" s="10"/>
      <c r="C41" s="10"/>
      <c r="D41" s="26"/>
      <c r="E41" s="30"/>
      <c r="F41" s="10"/>
    </row>
    <row r="42" spans="1:6" ht="14.5">
      <c r="A42" s="36"/>
      <c r="B42" s="10"/>
      <c r="C42" s="10"/>
      <c r="D42" s="26"/>
      <c r="E42" s="30"/>
      <c r="F42" s="10"/>
    </row>
    <row r="43" spans="1:6" ht="14.5">
      <c r="A43" s="36"/>
      <c r="B43" s="10"/>
      <c r="C43" s="10"/>
      <c r="D43" s="27"/>
      <c r="E43" s="30"/>
      <c r="F43" s="10"/>
    </row>
    <row r="44" spans="1:6" ht="14.5">
      <c r="A44" s="36"/>
      <c r="B44" s="10"/>
      <c r="C44" s="10"/>
      <c r="D44" s="27"/>
      <c r="E44" s="30"/>
      <c r="F44" s="10"/>
    </row>
    <row r="45" spans="1:6" ht="14.5">
      <c r="A45" s="36"/>
      <c r="B45" s="10"/>
      <c r="C45" s="10"/>
      <c r="D45" s="27"/>
      <c r="E45" s="30"/>
      <c r="F45" s="10"/>
    </row>
    <row r="46" spans="1:6" ht="14.5">
      <c r="A46" s="36"/>
      <c r="B46" s="10"/>
      <c r="C46" s="10"/>
      <c r="D46" s="27"/>
      <c r="E46" s="30"/>
      <c r="F46" s="10"/>
    </row>
    <row r="47" spans="1:6" ht="14.5">
      <c r="A47" s="36"/>
      <c r="B47" s="10"/>
      <c r="C47" s="10"/>
      <c r="D47" s="27"/>
      <c r="E47" s="30"/>
      <c r="F47" s="10"/>
    </row>
    <row r="48" spans="1:6" ht="14.5">
      <c r="A48" s="36"/>
      <c r="B48" s="10"/>
      <c r="C48" s="10"/>
      <c r="D48" s="26"/>
      <c r="E48" s="30"/>
      <c r="F48" s="10"/>
    </row>
    <row r="49" spans="1:6" ht="14.5">
      <c r="A49" s="36"/>
      <c r="B49" s="10"/>
      <c r="C49" s="8"/>
      <c r="D49" s="9"/>
      <c r="E49" s="30"/>
      <c r="F49" s="10"/>
    </row>
    <row r="50" spans="1:6" ht="14.5">
      <c r="A50" s="36"/>
      <c r="B50" s="10"/>
      <c r="C50" s="10"/>
      <c r="D50" s="26"/>
      <c r="E50" s="30"/>
      <c r="F50" s="10"/>
    </row>
    <row r="51" spans="1:6" ht="14.5">
      <c r="A51" s="36"/>
      <c r="B51" s="10"/>
      <c r="C51" s="10"/>
      <c r="D51" s="26"/>
      <c r="E51" s="30"/>
      <c r="F51" s="10"/>
    </row>
    <row r="52" spans="1:6" ht="14.5">
      <c r="A52" s="36"/>
      <c r="B52" s="10"/>
      <c r="C52" s="10"/>
      <c r="D52" s="15"/>
      <c r="E52" s="30"/>
      <c r="F52" s="10"/>
    </row>
    <row r="53" spans="1:6" ht="14.5">
      <c r="A53" s="36"/>
      <c r="B53" s="10"/>
      <c r="C53" s="12"/>
      <c r="D53" s="13"/>
      <c r="E53" s="30"/>
      <c r="F53" s="10"/>
    </row>
    <row r="54" spans="1:6" ht="14.5">
      <c r="A54" s="36"/>
      <c r="B54" s="10"/>
      <c r="C54" s="12"/>
      <c r="D54" s="13"/>
      <c r="E54" s="30"/>
      <c r="F54" s="10"/>
    </row>
    <row r="55" spans="1:6" ht="14.5">
      <c r="A55" s="36"/>
      <c r="B55" s="10"/>
      <c r="C55" s="12"/>
      <c r="D55" s="13"/>
      <c r="E55" s="30"/>
      <c r="F55" s="10"/>
    </row>
    <row r="56" spans="1:6" ht="14.5">
      <c r="A56" s="36"/>
      <c r="B56" s="10"/>
      <c r="C56" s="12"/>
      <c r="D56" s="13"/>
      <c r="E56" s="30"/>
      <c r="F56" s="10"/>
    </row>
    <row r="57" spans="1:6" ht="14.5">
      <c r="A57" s="36"/>
      <c r="B57" s="10"/>
      <c r="C57" s="12"/>
      <c r="D57" s="13"/>
      <c r="E57" s="30"/>
      <c r="F57" s="10"/>
    </row>
    <row r="58" spans="1:6" ht="14.5">
      <c r="A58" s="36"/>
      <c r="B58" s="10"/>
      <c r="C58" s="12"/>
      <c r="D58" s="13"/>
      <c r="E58" s="30"/>
      <c r="F58" s="10"/>
    </row>
    <row r="59" spans="1:6" ht="14.5">
      <c r="A59" s="36"/>
      <c r="B59" s="10"/>
      <c r="C59" s="12"/>
      <c r="D59" s="13"/>
      <c r="E59" s="30"/>
      <c r="F59" s="10"/>
    </row>
    <row r="60" spans="1:6" ht="14.5">
      <c r="A60" s="36"/>
      <c r="B60" s="10"/>
      <c r="C60" s="12"/>
      <c r="D60" s="13"/>
      <c r="E60" s="30"/>
      <c r="F60" s="10"/>
    </row>
    <row r="61" spans="1:6" ht="14.5">
      <c r="A61" s="36"/>
      <c r="B61" s="10"/>
      <c r="C61" s="12"/>
      <c r="D61" s="13"/>
      <c r="E61" s="30"/>
      <c r="F61" s="10"/>
    </row>
    <row r="62" spans="1:6" ht="14.5">
      <c r="A62" s="36"/>
      <c r="B62" s="10"/>
      <c r="C62" s="12"/>
      <c r="D62" s="13"/>
      <c r="E62" s="30"/>
      <c r="F62" s="10"/>
    </row>
    <row r="63" spans="1:6" ht="14.5">
      <c r="A63" s="36"/>
      <c r="B63" s="10"/>
      <c r="C63" s="12"/>
      <c r="D63" s="13"/>
      <c r="E63" s="30"/>
      <c r="F63" s="10"/>
    </row>
    <row r="64" spans="1:6" ht="14.5">
      <c r="A64" s="36"/>
      <c r="B64" s="10"/>
      <c r="C64" s="12"/>
      <c r="D64" s="13"/>
      <c r="E64" s="30"/>
      <c r="F64" s="10"/>
    </row>
    <row r="65" spans="1:6" ht="17.25" customHeight="1">
      <c r="A65" s="38"/>
      <c r="B65" s="20"/>
      <c r="C65" s="18"/>
      <c r="D65" s="19"/>
      <c r="E65" s="31"/>
      <c r="F65" s="20"/>
    </row>
    <row r="66" spans="1:6" ht="14.5">
      <c r="A66" s="38"/>
      <c r="B66" s="20"/>
      <c r="C66" s="18"/>
      <c r="D66" s="19"/>
      <c r="E66" s="31"/>
      <c r="F66" s="20"/>
    </row>
    <row r="67" spans="1:6" ht="14.5">
      <c r="A67" s="38"/>
      <c r="B67" s="20"/>
      <c r="C67" s="10"/>
      <c r="D67" s="21"/>
      <c r="E67" s="31"/>
      <c r="F67" s="20"/>
    </row>
    <row r="68" spans="1:6" ht="14.5">
      <c r="A68" s="38"/>
      <c r="B68" s="20"/>
      <c r="C68" s="12"/>
      <c r="D68" s="21"/>
      <c r="E68" s="31"/>
      <c r="F68" s="20"/>
    </row>
    <row r="69" spans="1:6" ht="14.5">
      <c r="A69" s="37"/>
      <c r="B69" s="10"/>
      <c r="C69" s="12"/>
      <c r="D69" s="32"/>
      <c r="E69" s="31"/>
      <c r="F69" s="20"/>
    </row>
    <row r="70" spans="1:6" ht="14.5">
      <c r="A70" s="37"/>
      <c r="B70" s="10"/>
      <c r="C70" s="12"/>
      <c r="D70" s="21"/>
      <c r="E70" s="31"/>
      <c r="F70" s="20"/>
    </row>
    <row r="71" spans="1:6" ht="14.5">
      <c r="A71" s="37"/>
      <c r="B71" s="10"/>
      <c r="C71" s="12"/>
      <c r="D71" s="21"/>
      <c r="E71" s="31"/>
      <c r="F71" s="20"/>
    </row>
    <row r="72" spans="1:6" ht="14.5">
      <c r="A72" s="37"/>
      <c r="B72" s="10"/>
      <c r="C72" s="10"/>
      <c r="D72" s="21"/>
      <c r="E72" s="31"/>
      <c r="F72" s="20"/>
    </row>
    <row r="73" spans="1:6" ht="14.5">
      <c r="A73" s="37"/>
      <c r="B73" s="10"/>
      <c r="C73" s="10"/>
      <c r="D73" s="21"/>
      <c r="E73" s="31"/>
      <c r="F73" s="20"/>
    </row>
    <row r="74" spans="1:6" ht="14.5">
      <c r="A74" s="37"/>
      <c r="B74" s="10"/>
      <c r="C74" s="10"/>
      <c r="D74" s="21"/>
      <c r="E74" s="31"/>
      <c r="F74" s="20"/>
    </row>
    <row r="75" spans="1:6" ht="14.5">
      <c r="A75" s="37"/>
      <c r="B75" s="10"/>
      <c r="C75" s="10"/>
      <c r="D75" s="21"/>
      <c r="E75" s="31"/>
      <c r="F75" s="20"/>
    </row>
    <row r="76" spans="1:6" ht="14.5">
      <c r="A76" s="37"/>
      <c r="B76" s="10"/>
      <c r="C76" s="10"/>
      <c r="D76" s="21"/>
      <c r="E76" s="31"/>
      <c r="F76" s="20"/>
    </row>
    <row r="77" spans="1:6" ht="14.5">
      <c r="A77" s="37"/>
      <c r="B77" s="10"/>
      <c r="C77" s="10"/>
      <c r="D77" s="15"/>
      <c r="E77" s="31"/>
      <c r="F77" s="20"/>
    </row>
    <row r="78" spans="1:6" ht="14.5">
      <c r="A78" s="37"/>
      <c r="B78" s="10"/>
      <c r="C78" s="10"/>
      <c r="D78" s="15"/>
      <c r="E78" s="31"/>
      <c r="F78" s="20"/>
    </row>
    <row r="79" spans="1:6" ht="15.75" customHeight="1">
      <c r="A79" s="37"/>
      <c r="B79" s="10"/>
      <c r="D79" s="15"/>
      <c r="E79" s="31"/>
      <c r="F79" s="20"/>
    </row>
  </sheetData>
  <autoFilter ref="A1:F78" xr:uid="{00000000-0009-0000-0000-000008000000}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75"/>
  <sheetViews>
    <sheetView showGridLines="0" topLeftCell="A43" workbookViewId="0">
      <selection sqref="A1:G56"/>
    </sheetView>
  </sheetViews>
  <sheetFormatPr defaultColWidth="12.54296875" defaultRowHeight="15.75" customHeight="1"/>
  <cols>
    <col min="2" max="2" width="15.54296875" customWidth="1"/>
    <col min="3" max="3" width="26.7265625" customWidth="1"/>
    <col min="4" max="4" width="71" customWidth="1"/>
    <col min="5" max="5" width="17" style="50" bestFit="1" customWidth="1"/>
    <col min="6" max="6" width="34.54296875" customWidth="1"/>
    <col min="7" max="7" width="40.1796875" customWidth="1"/>
  </cols>
  <sheetData>
    <row r="1" spans="1:7" ht="14.5">
      <c r="A1" s="24" t="s">
        <v>0</v>
      </c>
      <c r="B1" s="24" t="s">
        <v>1</v>
      </c>
      <c r="C1" s="24" t="s">
        <v>2</v>
      </c>
      <c r="D1" s="24" t="s">
        <v>3</v>
      </c>
      <c r="E1" s="51" t="s">
        <v>4</v>
      </c>
      <c r="F1" s="24" t="s">
        <v>5</v>
      </c>
      <c r="G1" s="24" t="s">
        <v>6</v>
      </c>
    </row>
    <row r="2" spans="1:7" ht="14.5">
      <c r="A2" s="202">
        <v>45672</v>
      </c>
      <c r="B2" s="63">
        <v>45672</v>
      </c>
      <c r="C2" s="131"/>
      <c r="D2" s="147" t="s">
        <v>199</v>
      </c>
      <c r="E2" s="195">
        <v>199500</v>
      </c>
      <c r="F2" s="66" t="s">
        <v>200</v>
      </c>
      <c r="G2" s="66" t="s">
        <v>201</v>
      </c>
    </row>
    <row r="3" spans="1:7" ht="14.5">
      <c r="A3" s="202">
        <v>45672</v>
      </c>
      <c r="B3" s="63">
        <v>45672</v>
      </c>
      <c r="C3" s="131"/>
      <c r="D3" s="147" t="s">
        <v>202</v>
      </c>
      <c r="E3" s="195">
        <v>172000</v>
      </c>
      <c r="F3" s="66" t="s">
        <v>203</v>
      </c>
      <c r="G3" s="66" t="s">
        <v>204</v>
      </c>
    </row>
    <row r="4" spans="1:7" ht="14.5">
      <c r="A4" s="202">
        <v>45677</v>
      </c>
      <c r="B4" s="63">
        <v>45677</v>
      </c>
      <c r="C4" s="131"/>
      <c r="D4" s="66" t="s">
        <v>205</v>
      </c>
      <c r="E4" s="195">
        <v>50330</v>
      </c>
      <c r="F4" s="66" t="s">
        <v>206</v>
      </c>
      <c r="G4" s="66" t="s">
        <v>207</v>
      </c>
    </row>
    <row r="5" spans="1:7" ht="14.5">
      <c r="A5" s="202">
        <v>45677</v>
      </c>
      <c r="B5" s="63">
        <v>45677</v>
      </c>
      <c r="C5" s="131"/>
      <c r="D5" s="66" t="s">
        <v>208</v>
      </c>
      <c r="E5" s="195">
        <v>352500</v>
      </c>
      <c r="F5" s="66" t="s">
        <v>209</v>
      </c>
      <c r="G5" s="66" t="s">
        <v>207</v>
      </c>
    </row>
    <row r="6" spans="1:7" ht="14.5">
      <c r="A6" s="202">
        <v>45678</v>
      </c>
      <c r="B6" s="63">
        <v>45678</v>
      </c>
      <c r="C6" s="68"/>
      <c r="D6" s="66" t="s">
        <v>210</v>
      </c>
      <c r="E6" s="195">
        <v>257542</v>
      </c>
      <c r="F6" s="66" t="s">
        <v>206</v>
      </c>
      <c r="G6" s="66" t="s">
        <v>207</v>
      </c>
    </row>
    <row r="7" spans="1:7" ht="14.5">
      <c r="A7" s="202">
        <v>45678</v>
      </c>
      <c r="B7" s="63">
        <v>45678</v>
      </c>
      <c r="C7" s="131"/>
      <c r="D7" s="66" t="s">
        <v>211</v>
      </c>
      <c r="E7" s="195">
        <v>119000</v>
      </c>
      <c r="F7" s="66" t="s">
        <v>206</v>
      </c>
      <c r="G7" s="66" t="s">
        <v>207</v>
      </c>
    </row>
    <row r="8" spans="1:7" ht="14.5">
      <c r="A8" s="202">
        <v>45678</v>
      </c>
      <c r="B8" s="63">
        <v>45678</v>
      </c>
      <c r="C8" s="131"/>
      <c r="D8" s="66" t="s">
        <v>212</v>
      </c>
      <c r="E8" s="195">
        <v>400000</v>
      </c>
      <c r="F8" s="66" t="s">
        <v>213</v>
      </c>
      <c r="G8" s="208" t="s">
        <v>214</v>
      </c>
    </row>
    <row r="9" spans="1:7" ht="14.5">
      <c r="A9" s="202">
        <v>45691</v>
      </c>
      <c r="B9" s="63">
        <v>45691</v>
      </c>
      <c r="C9" s="131"/>
      <c r="D9" s="94" t="s">
        <v>215</v>
      </c>
      <c r="E9" s="195">
        <v>206000</v>
      </c>
      <c r="F9" s="66" t="s">
        <v>203</v>
      </c>
      <c r="G9" s="66" t="s">
        <v>204</v>
      </c>
    </row>
    <row r="10" spans="1:7" ht="14.5">
      <c r="A10" s="202">
        <v>45691</v>
      </c>
      <c r="B10" s="63">
        <v>45691</v>
      </c>
      <c r="C10" s="131"/>
      <c r="D10" s="10" t="s">
        <v>216</v>
      </c>
      <c r="E10" s="195">
        <v>4239222</v>
      </c>
      <c r="F10" s="66" t="s">
        <v>203</v>
      </c>
      <c r="G10" s="208" t="s">
        <v>217</v>
      </c>
    </row>
    <row r="11" spans="1:7" ht="14.5">
      <c r="A11" s="202">
        <v>45691</v>
      </c>
      <c r="B11" s="63">
        <v>45691</v>
      </c>
      <c r="C11" s="131"/>
      <c r="D11" s="66" t="s">
        <v>218</v>
      </c>
      <c r="E11" s="195">
        <v>2127500</v>
      </c>
      <c r="F11" s="66" t="s">
        <v>219</v>
      </c>
      <c r="G11" s="208" t="s">
        <v>214</v>
      </c>
    </row>
    <row r="12" spans="1:7" ht="14.5">
      <c r="A12" s="202">
        <v>45691</v>
      </c>
      <c r="B12" s="63">
        <v>45691</v>
      </c>
      <c r="C12" s="131"/>
      <c r="D12" s="66" t="s">
        <v>218</v>
      </c>
      <c r="E12" s="195">
        <v>600000</v>
      </c>
      <c r="F12" s="66" t="s">
        <v>213</v>
      </c>
      <c r="G12" s="208" t="s">
        <v>214</v>
      </c>
    </row>
    <row r="13" spans="1:7" ht="14.5">
      <c r="A13" s="202">
        <v>45692</v>
      </c>
      <c r="B13" s="63">
        <v>45692</v>
      </c>
      <c r="C13" s="131"/>
      <c r="D13" s="147" t="s">
        <v>220</v>
      </c>
      <c r="E13" s="195">
        <v>161000</v>
      </c>
      <c r="F13" s="66" t="s">
        <v>200</v>
      </c>
      <c r="G13" s="66" t="s">
        <v>201</v>
      </c>
    </row>
    <row r="14" spans="1:7" ht="14.5">
      <c r="A14" s="202">
        <v>45693</v>
      </c>
      <c r="B14" s="63">
        <v>45693</v>
      </c>
      <c r="C14" s="131"/>
      <c r="D14" s="66" t="s">
        <v>221</v>
      </c>
      <c r="E14" s="195">
        <f>325800+294000</f>
        <v>619800</v>
      </c>
      <c r="F14" s="66" t="s">
        <v>203</v>
      </c>
      <c r="G14" s="66" t="s">
        <v>204</v>
      </c>
    </row>
    <row r="15" spans="1:7" ht="14.5">
      <c r="A15" s="202">
        <v>45694</v>
      </c>
      <c r="B15" s="63">
        <v>45694</v>
      </c>
      <c r="C15" s="131"/>
      <c r="D15" s="94" t="s">
        <v>222</v>
      </c>
      <c r="E15" s="195">
        <v>69500</v>
      </c>
      <c r="F15" s="66" t="s">
        <v>206</v>
      </c>
      <c r="G15" s="66" t="s">
        <v>207</v>
      </c>
    </row>
    <row r="16" spans="1:7" ht="14.5">
      <c r="A16" s="202">
        <v>45701</v>
      </c>
      <c r="B16" s="63">
        <v>45701</v>
      </c>
      <c r="C16" s="131"/>
      <c r="D16" s="66" t="s">
        <v>223</v>
      </c>
      <c r="E16" s="195">
        <v>220460</v>
      </c>
      <c r="F16" s="66" t="s">
        <v>206</v>
      </c>
      <c r="G16" s="66" t="s">
        <v>207</v>
      </c>
    </row>
    <row r="17" spans="1:7" ht="14.5">
      <c r="A17" s="202">
        <v>45701</v>
      </c>
      <c r="B17" s="63">
        <v>45701</v>
      </c>
      <c r="C17" s="131"/>
      <c r="D17" s="66" t="s">
        <v>224</v>
      </c>
      <c r="E17" s="195">
        <v>183500</v>
      </c>
      <c r="F17" s="66" t="s">
        <v>206</v>
      </c>
      <c r="G17" s="66" t="s">
        <v>207</v>
      </c>
    </row>
    <row r="18" spans="1:7" ht="14.5">
      <c r="A18" s="202">
        <v>45705</v>
      </c>
      <c r="B18" s="63">
        <v>45705</v>
      </c>
      <c r="C18" s="131"/>
      <c r="D18" s="177" t="s">
        <v>225</v>
      </c>
      <c r="E18" s="195">
        <v>147000</v>
      </c>
      <c r="F18" s="66" t="s">
        <v>200</v>
      </c>
      <c r="G18" s="66" t="s">
        <v>201</v>
      </c>
    </row>
    <row r="19" spans="1:7" ht="14.5">
      <c r="A19" s="202">
        <v>45705</v>
      </c>
      <c r="B19" s="63">
        <v>45705</v>
      </c>
      <c r="C19" s="131"/>
      <c r="D19" s="177" t="s">
        <v>226</v>
      </c>
      <c r="E19" s="195">
        <v>175000</v>
      </c>
      <c r="F19" s="66" t="s">
        <v>200</v>
      </c>
      <c r="G19" s="66" t="s">
        <v>201</v>
      </c>
    </row>
    <row r="20" spans="1:7" ht="14.5">
      <c r="A20" s="202">
        <v>45706</v>
      </c>
      <c r="B20" s="63">
        <v>45706</v>
      </c>
      <c r="C20" s="131"/>
      <c r="D20" s="66" t="s">
        <v>227</v>
      </c>
      <c r="E20" s="195">
        <v>200000</v>
      </c>
      <c r="F20" s="66" t="s">
        <v>209</v>
      </c>
      <c r="G20" s="66" t="s">
        <v>207</v>
      </c>
    </row>
    <row r="21" spans="1:7" ht="14.5">
      <c r="A21" s="202">
        <v>45706</v>
      </c>
      <c r="B21" s="63">
        <v>45706</v>
      </c>
      <c r="C21" s="131"/>
      <c r="D21" s="66" t="s">
        <v>228</v>
      </c>
      <c r="E21" s="195">
        <v>200000</v>
      </c>
      <c r="F21" s="66" t="s">
        <v>209</v>
      </c>
      <c r="G21" s="66" t="s">
        <v>207</v>
      </c>
    </row>
    <row r="22" spans="1:7" ht="14.5">
      <c r="A22" s="202">
        <v>45706</v>
      </c>
      <c r="B22" s="63">
        <v>45706</v>
      </c>
      <c r="C22" s="136"/>
      <c r="D22" s="66" t="s">
        <v>229</v>
      </c>
      <c r="E22" s="195">
        <v>20000</v>
      </c>
      <c r="F22" s="66" t="s">
        <v>209</v>
      </c>
      <c r="G22" s="66" t="s">
        <v>207</v>
      </c>
    </row>
    <row r="23" spans="1:7" ht="14.5">
      <c r="A23" s="202">
        <v>45707</v>
      </c>
      <c r="B23" s="135">
        <v>45707</v>
      </c>
      <c r="C23" s="132"/>
      <c r="D23" s="66" t="s">
        <v>230</v>
      </c>
      <c r="E23" s="195">
        <v>118000</v>
      </c>
      <c r="F23" s="134" t="s">
        <v>203</v>
      </c>
      <c r="G23" s="134" t="s">
        <v>204</v>
      </c>
    </row>
    <row r="24" spans="1:7" ht="29">
      <c r="A24" s="210">
        <v>45714</v>
      </c>
      <c r="B24" s="182">
        <v>45714</v>
      </c>
      <c r="C24" s="212"/>
      <c r="D24" s="205" t="s">
        <v>231</v>
      </c>
      <c r="E24" s="206">
        <v>8846500</v>
      </c>
      <c r="F24" s="207" t="s">
        <v>206</v>
      </c>
      <c r="G24" s="207" t="s">
        <v>207</v>
      </c>
    </row>
    <row r="25" spans="1:7" ht="29">
      <c r="A25" s="211">
        <v>45714</v>
      </c>
      <c r="B25" s="182">
        <v>45714</v>
      </c>
      <c r="C25" s="213"/>
      <c r="D25" s="177" t="s">
        <v>232</v>
      </c>
      <c r="E25" s="209">
        <v>392000</v>
      </c>
      <c r="F25" s="66" t="s">
        <v>206</v>
      </c>
      <c r="G25" s="66" t="s">
        <v>207</v>
      </c>
    </row>
    <row r="26" spans="1:7" ht="14.5">
      <c r="A26" s="211">
        <v>45714</v>
      </c>
      <c r="B26" s="182">
        <v>45714</v>
      </c>
      <c r="C26" s="213"/>
      <c r="D26" s="66" t="s">
        <v>233</v>
      </c>
      <c r="E26" s="195">
        <v>512737</v>
      </c>
      <c r="F26" s="207" t="s">
        <v>206</v>
      </c>
      <c r="G26" s="207" t="s">
        <v>207</v>
      </c>
    </row>
    <row r="27" spans="1:7" ht="14.5">
      <c r="A27" s="202">
        <v>45722</v>
      </c>
      <c r="B27" s="123">
        <v>45722</v>
      </c>
      <c r="C27" s="131"/>
      <c r="D27" s="66" t="s">
        <v>234</v>
      </c>
      <c r="E27" s="195">
        <v>156800</v>
      </c>
      <c r="F27" s="66" t="s">
        <v>200</v>
      </c>
      <c r="G27" s="66" t="s">
        <v>201</v>
      </c>
    </row>
    <row r="28" spans="1:7" ht="14.5">
      <c r="A28" s="202">
        <v>45722</v>
      </c>
      <c r="B28" s="123">
        <v>45722</v>
      </c>
      <c r="C28" s="131"/>
      <c r="D28" s="66" t="s">
        <v>235</v>
      </c>
      <c r="E28" s="195">
        <v>199500</v>
      </c>
      <c r="F28" s="66" t="s">
        <v>200</v>
      </c>
      <c r="G28" s="66" t="s">
        <v>201</v>
      </c>
    </row>
    <row r="29" spans="1:7" ht="14.5">
      <c r="A29" s="202">
        <v>45726</v>
      </c>
      <c r="B29" s="123">
        <v>45726</v>
      </c>
      <c r="C29" s="131"/>
      <c r="D29" s="66" t="s">
        <v>236</v>
      </c>
      <c r="E29" s="195">
        <v>77000</v>
      </c>
      <c r="F29" s="134" t="s">
        <v>203</v>
      </c>
      <c r="G29" s="134" t="s">
        <v>204</v>
      </c>
    </row>
    <row r="30" spans="1:7" ht="14.5">
      <c r="A30" s="202">
        <v>45726</v>
      </c>
      <c r="B30" s="63">
        <v>45726</v>
      </c>
      <c r="C30" s="131"/>
      <c r="D30" s="177" t="s">
        <v>237</v>
      </c>
      <c r="E30" s="195">
        <v>346500</v>
      </c>
      <c r="F30" s="66" t="s">
        <v>200</v>
      </c>
      <c r="G30" s="66" t="s">
        <v>201</v>
      </c>
    </row>
    <row r="31" spans="1:7" ht="14.5">
      <c r="A31" s="202">
        <v>45726</v>
      </c>
      <c r="B31" s="63">
        <v>45726</v>
      </c>
      <c r="C31" s="131"/>
      <c r="D31" s="177" t="s">
        <v>238</v>
      </c>
      <c r="E31" s="195">
        <v>41000</v>
      </c>
      <c r="F31" s="66" t="s">
        <v>206</v>
      </c>
      <c r="G31" s="66" t="s">
        <v>207</v>
      </c>
    </row>
    <row r="32" spans="1:7" ht="14.5">
      <c r="A32" s="202">
        <v>45726</v>
      </c>
      <c r="B32" s="63">
        <v>45726</v>
      </c>
      <c r="C32" s="131"/>
      <c r="D32" s="177" t="s">
        <v>239</v>
      </c>
      <c r="E32" s="195">
        <v>51257</v>
      </c>
      <c r="F32" s="66" t="s">
        <v>206</v>
      </c>
      <c r="G32" s="66" t="s">
        <v>207</v>
      </c>
    </row>
    <row r="33" spans="1:7" ht="14.5">
      <c r="A33" s="202">
        <v>45726</v>
      </c>
      <c r="B33" s="63">
        <v>45726</v>
      </c>
      <c r="C33" s="131"/>
      <c r="D33" s="177" t="s">
        <v>240</v>
      </c>
      <c r="E33" s="195">
        <v>101000</v>
      </c>
      <c r="F33" s="66" t="s">
        <v>209</v>
      </c>
      <c r="G33" s="66" t="s">
        <v>207</v>
      </c>
    </row>
    <row r="34" spans="1:7" ht="14.5">
      <c r="A34" s="202">
        <v>45726</v>
      </c>
      <c r="B34" s="63">
        <v>45726</v>
      </c>
      <c r="C34" s="131"/>
      <c r="D34" s="66" t="s">
        <v>241</v>
      </c>
      <c r="E34" s="195">
        <v>154100</v>
      </c>
      <c r="F34" s="66" t="s">
        <v>206</v>
      </c>
      <c r="G34" s="66" t="s">
        <v>207</v>
      </c>
    </row>
    <row r="35" spans="1:7" ht="14.5">
      <c r="A35" s="202">
        <v>45726</v>
      </c>
      <c r="B35" s="63">
        <v>45726</v>
      </c>
      <c r="C35" s="131"/>
      <c r="D35" s="66" t="s">
        <v>242</v>
      </c>
      <c r="E35" s="195">
        <v>162500</v>
      </c>
      <c r="F35" s="66" t="s">
        <v>206</v>
      </c>
      <c r="G35" s="66" t="s">
        <v>207</v>
      </c>
    </row>
    <row r="36" spans="1:7" ht="14.5">
      <c r="A36" s="202">
        <v>45726</v>
      </c>
      <c r="B36" s="63">
        <v>45726</v>
      </c>
      <c r="C36" s="131"/>
      <c r="D36" s="66" t="s">
        <v>243</v>
      </c>
      <c r="E36" s="195">
        <v>4518000</v>
      </c>
      <c r="F36" s="66" t="s">
        <v>206</v>
      </c>
      <c r="G36" s="66" t="s">
        <v>207</v>
      </c>
    </row>
    <row r="37" spans="1:7" ht="14.5">
      <c r="A37" s="202">
        <v>45726</v>
      </c>
      <c r="B37" s="63">
        <v>45726</v>
      </c>
      <c r="C37" s="131"/>
      <c r="D37" s="66" t="s">
        <v>244</v>
      </c>
      <c r="E37" s="195">
        <v>3500000</v>
      </c>
      <c r="F37" s="134" t="s">
        <v>203</v>
      </c>
      <c r="G37" s="134" t="s">
        <v>204</v>
      </c>
    </row>
    <row r="38" spans="1:7" ht="14.5">
      <c r="A38" s="202">
        <v>45728</v>
      </c>
      <c r="B38" s="63">
        <v>45728</v>
      </c>
      <c r="C38" s="131"/>
      <c r="D38" s="66" t="s">
        <v>245</v>
      </c>
      <c r="E38" s="195">
        <v>4053000</v>
      </c>
      <c r="F38" s="66" t="s">
        <v>209</v>
      </c>
      <c r="G38" s="66" t="s">
        <v>207</v>
      </c>
    </row>
    <row r="39" spans="1:7" ht="14.5">
      <c r="A39" s="202">
        <v>45728</v>
      </c>
      <c r="B39" s="63">
        <v>45728</v>
      </c>
      <c r="C39" s="131"/>
      <c r="D39" s="66" t="s">
        <v>246</v>
      </c>
      <c r="E39" s="195">
        <f>15000+28401</f>
        <v>43401</v>
      </c>
      <c r="F39" s="66" t="s">
        <v>209</v>
      </c>
      <c r="G39" s="66" t="s">
        <v>207</v>
      </c>
    </row>
    <row r="40" spans="1:7" ht="14.5">
      <c r="A40" s="202">
        <v>45729</v>
      </c>
      <c r="B40" s="63">
        <v>45729</v>
      </c>
      <c r="C40" s="131"/>
      <c r="D40" s="66" t="s">
        <v>247</v>
      </c>
      <c r="E40" s="195">
        <v>189000</v>
      </c>
      <c r="F40" s="134" t="s">
        <v>203</v>
      </c>
      <c r="G40" s="134" t="s">
        <v>204</v>
      </c>
    </row>
    <row r="41" spans="1:7" ht="14.5">
      <c r="A41" s="202">
        <v>45734</v>
      </c>
      <c r="B41" s="63">
        <v>45734</v>
      </c>
      <c r="C41" s="131"/>
      <c r="D41" s="66" t="s">
        <v>248</v>
      </c>
      <c r="E41" s="195">
        <v>1690000</v>
      </c>
      <c r="F41" s="66" t="s">
        <v>249</v>
      </c>
      <c r="G41" s="66"/>
    </row>
    <row r="42" spans="1:7" ht="14.5">
      <c r="A42" s="202">
        <v>45736</v>
      </c>
      <c r="B42" s="63">
        <v>45736</v>
      </c>
      <c r="C42" s="131"/>
      <c r="D42" s="66" t="s">
        <v>250</v>
      </c>
      <c r="E42" s="195">
        <f>438035+48184</f>
        <v>486219</v>
      </c>
      <c r="F42" s="66" t="s">
        <v>206</v>
      </c>
      <c r="G42" s="66" t="s">
        <v>207</v>
      </c>
    </row>
    <row r="43" spans="1:7" ht="14.5">
      <c r="A43" s="202">
        <v>45736</v>
      </c>
      <c r="B43" s="63">
        <v>45736</v>
      </c>
      <c r="C43" s="131"/>
      <c r="D43" s="66" t="s">
        <v>251</v>
      </c>
      <c r="E43" s="195">
        <v>367314</v>
      </c>
      <c r="F43" s="66" t="s">
        <v>206</v>
      </c>
      <c r="G43" s="66" t="s">
        <v>207</v>
      </c>
    </row>
    <row r="44" spans="1:7" ht="14.5">
      <c r="A44" s="202">
        <v>45736</v>
      </c>
      <c r="B44" s="63">
        <v>45736</v>
      </c>
      <c r="C44" s="131"/>
      <c r="D44" s="66" t="s">
        <v>252</v>
      </c>
      <c r="E44" s="195">
        <v>59000</v>
      </c>
      <c r="F44" s="134" t="s">
        <v>203</v>
      </c>
      <c r="G44" s="134" t="s">
        <v>204</v>
      </c>
    </row>
    <row r="45" spans="1:7" ht="14.5">
      <c r="A45" s="202">
        <v>45736</v>
      </c>
      <c r="B45" s="63">
        <v>45736</v>
      </c>
      <c r="C45" s="131"/>
      <c r="D45" s="66" t="s">
        <v>253</v>
      </c>
      <c r="E45" s="195">
        <v>13046200</v>
      </c>
      <c r="F45" s="66" t="s">
        <v>206</v>
      </c>
      <c r="G45" s="66" t="s">
        <v>207</v>
      </c>
    </row>
    <row r="46" spans="1:7" ht="14.5">
      <c r="A46" s="202">
        <v>45736</v>
      </c>
      <c r="B46" s="63">
        <v>45736</v>
      </c>
      <c r="C46" s="131"/>
      <c r="D46" s="66" t="s">
        <v>254</v>
      </c>
      <c r="E46" s="195">
        <v>382500</v>
      </c>
      <c r="F46" s="134" t="s">
        <v>203</v>
      </c>
      <c r="G46" s="134" t="s">
        <v>204</v>
      </c>
    </row>
    <row r="47" spans="1:7" ht="14.5">
      <c r="A47" s="202">
        <v>45736</v>
      </c>
      <c r="B47" s="63">
        <v>45736</v>
      </c>
      <c r="C47" s="131"/>
      <c r="D47" s="66" t="s">
        <v>255</v>
      </c>
      <c r="E47" s="195">
        <f>671435+73858</f>
        <v>745293</v>
      </c>
      <c r="F47" s="66" t="s">
        <v>206</v>
      </c>
      <c r="G47" s="66" t="s">
        <v>207</v>
      </c>
    </row>
    <row r="48" spans="1:7" ht="14.5">
      <c r="A48" s="202">
        <v>45743</v>
      </c>
      <c r="B48" s="63">
        <v>45743</v>
      </c>
      <c r="C48" s="131"/>
      <c r="D48" s="66" t="s">
        <v>256</v>
      </c>
      <c r="E48" s="195">
        <v>350000</v>
      </c>
      <c r="F48" s="66" t="s">
        <v>213</v>
      </c>
      <c r="G48" s="208" t="s">
        <v>214</v>
      </c>
    </row>
    <row r="49" spans="1:7" ht="14.5">
      <c r="A49" s="202">
        <v>45743</v>
      </c>
      <c r="B49" s="63">
        <v>45743</v>
      </c>
      <c r="C49" s="131"/>
      <c r="D49" s="66" t="s">
        <v>257</v>
      </c>
      <c r="E49" s="195">
        <v>28000</v>
      </c>
      <c r="F49" s="66" t="s">
        <v>200</v>
      </c>
      <c r="G49" s="66" t="s">
        <v>201</v>
      </c>
    </row>
    <row r="50" spans="1:7" ht="14.5">
      <c r="A50" s="202">
        <v>45756</v>
      </c>
      <c r="B50" s="63">
        <v>45756</v>
      </c>
      <c r="C50" s="64"/>
      <c r="D50" s="66" t="s">
        <v>258</v>
      </c>
      <c r="E50" s="195">
        <v>121000</v>
      </c>
      <c r="F50" s="134" t="s">
        <v>203</v>
      </c>
      <c r="G50" s="134" t="s">
        <v>204</v>
      </c>
    </row>
    <row r="51" spans="1:7" ht="14.5">
      <c r="A51" s="202">
        <v>45757</v>
      </c>
      <c r="B51" s="63">
        <v>45757</v>
      </c>
      <c r="C51" s="64"/>
      <c r="D51" s="66" t="s">
        <v>259</v>
      </c>
      <c r="E51" s="195">
        <v>5085050</v>
      </c>
      <c r="F51" s="66" t="s">
        <v>209</v>
      </c>
      <c r="G51" s="66" t="s">
        <v>201</v>
      </c>
    </row>
    <row r="52" spans="1:7" ht="14.5">
      <c r="A52" s="202">
        <v>45758</v>
      </c>
      <c r="B52" s="63">
        <v>45758</v>
      </c>
      <c r="C52" s="64"/>
      <c r="D52" s="177" t="s">
        <v>260</v>
      </c>
      <c r="E52" s="195">
        <v>217000</v>
      </c>
      <c r="F52" s="66" t="s">
        <v>200</v>
      </c>
      <c r="G52" s="66" t="s">
        <v>201</v>
      </c>
    </row>
    <row r="53" spans="1:7" ht="14.5">
      <c r="A53" s="202">
        <v>45758</v>
      </c>
      <c r="B53" s="63">
        <v>45758</v>
      </c>
      <c r="C53" s="64"/>
      <c r="D53" s="177" t="s">
        <v>261</v>
      </c>
      <c r="E53" s="195">
        <v>189000</v>
      </c>
      <c r="F53" s="66" t="s">
        <v>200</v>
      </c>
      <c r="G53" s="66" t="s">
        <v>201</v>
      </c>
    </row>
    <row r="54" spans="1:7" ht="14.5">
      <c r="A54" s="202">
        <v>45758</v>
      </c>
      <c r="B54" s="63">
        <v>45758</v>
      </c>
      <c r="C54" s="64"/>
      <c r="D54" s="177" t="s">
        <v>262</v>
      </c>
      <c r="E54" s="195">
        <v>275800</v>
      </c>
      <c r="F54" s="66" t="s">
        <v>200</v>
      </c>
      <c r="G54" s="66" t="s">
        <v>201</v>
      </c>
    </row>
    <row r="55" spans="1:7" ht="14.5">
      <c r="A55" s="202">
        <v>45758</v>
      </c>
      <c r="B55" s="63">
        <v>45758</v>
      </c>
      <c r="C55" s="64"/>
      <c r="D55" s="66" t="s">
        <v>263</v>
      </c>
      <c r="E55" s="195">
        <v>3900500</v>
      </c>
      <c r="F55" s="66" t="s">
        <v>213</v>
      </c>
      <c r="G55" s="66"/>
    </row>
    <row r="56" spans="1:7" ht="14.5">
      <c r="A56" s="202">
        <v>45762</v>
      </c>
      <c r="B56" s="63">
        <v>45762</v>
      </c>
      <c r="C56" s="131"/>
      <c r="D56" s="66" t="s">
        <v>264</v>
      </c>
      <c r="E56" s="195">
        <v>812977</v>
      </c>
      <c r="F56" s="66" t="s">
        <v>249</v>
      </c>
      <c r="G56" s="66"/>
    </row>
    <row r="57" spans="1:7" ht="14.5">
      <c r="A57" s="6"/>
      <c r="B57" s="7"/>
      <c r="C57" s="8"/>
      <c r="D57" s="8"/>
      <c r="E57" s="45"/>
      <c r="F57" s="10"/>
      <c r="G57" s="10"/>
    </row>
    <row r="58" spans="1:7" ht="14.5">
      <c r="A58" s="6"/>
      <c r="B58" s="7"/>
      <c r="C58" s="8"/>
      <c r="D58" s="8"/>
      <c r="E58" s="45"/>
      <c r="F58" s="10"/>
      <c r="G58" s="10"/>
    </row>
    <row r="59" spans="1:7" ht="14.5">
      <c r="A59" s="6"/>
      <c r="B59" s="7"/>
      <c r="C59" s="8"/>
      <c r="D59" s="8"/>
      <c r="E59" s="45"/>
      <c r="F59" s="10"/>
      <c r="G59" s="10"/>
    </row>
    <row r="60" spans="1:7" ht="14.5">
      <c r="A60" s="6"/>
      <c r="B60" s="7"/>
      <c r="C60" s="8"/>
      <c r="D60" s="2"/>
      <c r="E60" s="45"/>
      <c r="F60" s="10"/>
      <c r="G60" s="10"/>
    </row>
    <row r="61" spans="1:7" ht="14.5">
      <c r="A61" s="6"/>
      <c r="B61" s="7"/>
      <c r="C61" s="8"/>
      <c r="D61" s="2"/>
      <c r="E61" s="45"/>
      <c r="F61" s="10"/>
      <c r="G61" s="10"/>
    </row>
    <row r="62" spans="1:7" ht="14.5">
      <c r="A62" s="6"/>
      <c r="B62" s="7"/>
      <c r="C62" s="8"/>
      <c r="D62" s="2"/>
      <c r="E62" s="45"/>
      <c r="F62" s="10"/>
      <c r="G62" s="10"/>
    </row>
    <row r="63" spans="1:7" ht="14.5">
      <c r="A63" s="6"/>
      <c r="B63" s="7"/>
      <c r="C63" s="8"/>
      <c r="D63" s="8"/>
      <c r="E63" s="45"/>
      <c r="F63" s="10"/>
      <c r="G63" s="10"/>
    </row>
    <row r="64" spans="1:7" ht="14.5">
      <c r="A64" s="6"/>
      <c r="B64" s="7"/>
      <c r="C64" s="8"/>
      <c r="D64" s="8"/>
      <c r="E64" s="45"/>
      <c r="F64" s="10"/>
      <c r="G64" s="10"/>
    </row>
    <row r="65" spans="1:7" ht="14.5">
      <c r="A65" s="6"/>
      <c r="B65" s="7"/>
      <c r="C65" s="8"/>
      <c r="D65" s="8"/>
      <c r="E65" s="45"/>
      <c r="F65" s="10"/>
      <c r="G65" s="10"/>
    </row>
    <row r="66" spans="1:7" ht="14.5">
      <c r="A66" s="6"/>
      <c r="B66" s="7"/>
      <c r="C66" s="8"/>
      <c r="D66" s="8"/>
      <c r="E66" s="45"/>
      <c r="F66" s="10"/>
      <c r="G66" s="10"/>
    </row>
    <row r="67" spans="1:7" ht="14.5">
      <c r="A67" s="6"/>
      <c r="B67" s="7"/>
      <c r="C67" s="8"/>
      <c r="D67" s="8"/>
      <c r="E67" s="45"/>
      <c r="F67" s="10"/>
      <c r="G67" s="10"/>
    </row>
    <row r="68" spans="1:7" ht="14.5">
      <c r="A68" s="6"/>
      <c r="B68" s="7"/>
      <c r="C68" s="8"/>
      <c r="D68" s="8"/>
      <c r="E68" s="45"/>
      <c r="F68" s="10"/>
      <c r="G68" s="10"/>
    </row>
    <row r="69" spans="1:7" ht="14.5">
      <c r="A69" s="6"/>
      <c r="B69" s="7"/>
      <c r="C69" s="8"/>
      <c r="D69" s="8"/>
      <c r="E69" s="45"/>
      <c r="F69" s="10"/>
      <c r="G69" s="10"/>
    </row>
    <row r="70" spans="1:7" ht="14.5">
      <c r="A70" s="6"/>
      <c r="B70" s="7"/>
      <c r="C70" s="8"/>
      <c r="D70" s="2"/>
      <c r="E70" s="45"/>
      <c r="F70" s="10"/>
      <c r="G70" s="10"/>
    </row>
    <row r="71" spans="1:7" ht="14.5">
      <c r="A71" s="6"/>
      <c r="B71" s="7"/>
      <c r="C71" s="10"/>
      <c r="D71" s="10"/>
      <c r="E71" s="48"/>
      <c r="F71" s="10"/>
      <c r="G71" s="10"/>
    </row>
    <row r="72" spans="1:7" ht="14.5">
      <c r="A72" s="6"/>
      <c r="B72" s="7"/>
      <c r="C72" s="12"/>
      <c r="D72" s="12"/>
      <c r="E72" s="48"/>
      <c r="F72" s="10"/>
      <c r="G72" s="10"/>
    </row>
    <row r="73" spans="1:7" ht="14.5">
      <c r="A73" s="6"/>
      <c r="B73" s="7"/>
      <c r="C73" s="12"/>
      <c r="D73" s="12"/>
      <c r="E73" s="48"/>
      <c r="F73" s="10"/>
      <c r="G73" s="10"/>
    </row>
    <row r="74" spans="1:7" ht="14.5">
      <c r="A74" s="6"/>
      <c r="B74" s="7"/>
      <c r="C74" s="12"/>
      <c r="D74" s="12"/>
      <c r="E74" s="48"/>
      <c r="F74" s="10"/>
      <c r="G74" s="10"/>
    </row>
    <row r="75" spans="1:7" ht="14.5">
      <c r="A75" s="6"/>
      <c r="B75" s="7"/>
      <c r="C75" s="8"/>
      <c r="D75" s="18"/>
      <c r="E75" s="97"/>
      <c r="F75" s="10"/>
      <c r="G75" s="10"/>
    </row>
    <row r="76" spans="1:7" ht="14.5">
      <c r="A76" s="6"/>
      <c r="B76" s="7"/>
      <c r="C76" s="8"/>
      <c r="D76" s="8"/>
      <c r="E76" s="45"/>
      <c r="F76" s="10"/>
      <c r="G76" s="10"/>
    </row>
    <row r="77" spans="1:7" ht="14.5">
      <c r="A77" s="6"/>
      <c r="B77" s="7"/>
      <c r="C77" s="8"/>
      <c r="D77" s="8"/>
      <c r="E77" s="45"/>
      <c r="F77" s="10"/>
      <c r="G77" s="10"/>
    </row>
    <row r="78" spans="1:7" ht="14.5">
      <c r="A78" s="6"/>
      <c r="B78" s="7"/>
      <c r="C78" s="8"/>
      <c r="D78" s="2"/>
      <c r="E78" s="45"/>
      <c r="F78" s="10"/>
      <c r="G78" s="10"/>
    </row>
    <row r="79" spans="1:7" ht="14.5">
      <c r="A79" s="6"/>
      <c r="B79" s="7"/>
      <c r="C79" s="8"/>
      <c r="D79" s="2"/>
      <c r="E79" s="45"/>
      <c r="F79" s="10"/>
      <c r="G79" s="10"/>
    </row>
    <row r="80" spans="1:7" ht="14.5">
      <c r="A80" s="6"/>
      <c r="B80" s="7"/>
      <c r="C80" s="2"/>
      <c r="D80" s="2"/>
      <c r="E80" s="45"/>
      <c r="F80" s="10"/>
      <c r="G80" s="10"/>
    </row>
    <row r="81" spans="1:7" ht="14.5">
      <c r="A81" s="6"/>
      <c r="B81" s="7"/>
      <c r="C81" s="2"/>
      <c r="D81" s="2"/>
      <c r="E81" s="45"/>
      <c r="F81" s="10"/>
      <c r="G81" s="10"/>
    </row>
    <row r="82" spans="1:7" ht="14.5">
      <c r="A82" s="6"/>
      <c r="B82" s="7"/>
      <c r="C82" s="2"/>
      <c r="D82" s="2"/>
      <c r="E82" s="45"/>
      <c r="F82" s="10"/>
      <c r="G82" s="10"/>
    </row>
    <row r="83" spans="1:7" ht="14.5">
      <c r="A83" s="6"/>
      <c r="B83" s="7"/>
      <c r="C83" s="2"/>
      <c r="D83" s="2"/>
      <c r="E83" s="45"/>
      <c r="F83" s="10"/>
      <c r="G83" s="10"/>
    </row>
    <row r="84" spans="1:7" ht="14.5">
      <c r="A84" s="6"/>
      <c r="B84" s="7"/>
      <c r="C84" s="2"/>
      <c r="D84" s="2"/>
      <c r="E84" s="45"/>
      <c r="F84" s="10"/>
      <c r="G84" s="10"/>
    </row>
    <row r="85" spans="1:7" ht="14.5">
      <c r="A85" s="6"/>
      <c r="B85" s="7"/>
      <c r="C85" s="10"/>
      <c r="D85" s="8"/>
      <c r="E85" s="45"/>
      <c r="F85" s="10"/>
      <c r="G85" s="10"/>
    </row>
    <row r="86" spans="1:7" ht="14.5">
      <c r="A86" s="6"/>
      <c r="B86" s="7"/>
      <c r="C86" s="10"/>
      <c r="D86" s="8"/>
      <c r="E86" s="45"/>
      <c r="F86" s="10"/>
      <c r="G86" s="10"/>
    </row>
    <row r="87" spans="1:7" ht="14.5">
      <c r="A87" s="6"/>
      <c r="B87" s="7"/>
      <c r="C87" s="10"/>
      <c r="D87" s="10"/>
      <c r="E87" s="53"/>
      <c r="F87" s="10"/>
      <c r="G87" s="10"/>
    </row>
    <row r="88" spans="1:7" ht="14.5">
      <c r="A88" s="6"/>
      <c r="B88" s="7"/>
      <c r="C88" s="10"/>
      <c r="D88" s="10"/>
      <c r="E88" s="53"/>
      <c r="F88" s="10"/>
      <c r="G88" s="10"/>
    </row>
    <row r="89" spans="1:7" ht="14.5">
      <c r="A89" s="6"/>
      <c r="B89" s="7"/>
      <c r="C89" s="10"/>
      <c r="D89" s="10"/>
      <c r="E89" s="53"/>
      <c r="F89" s="10"/>
      <c r="G89" s="10"/>
    </row>
    <row r="90" spans="1:7" ht="14.5">
      <c r="A90" s="6"/>
      <c r="B90" s="7"/>
      <c r="C90" s="10"/>
      <c r="D90" s="10"/>
      <c r="E90" s="53"/>
      <c r="F90" s="10"/>
      <c r="G90" s="10"/>
    </row>
    <row r="91" spans="1:7" ht="14.5">
      <c r="A91" s="6"/>
      <c r="B91" s="7"/>
      <c r="C91" s="10"/>
      <c r="D91" s="10"/>
      <c r="E91" s="53"/>
      <c r="F91" s="10"/>
      <c r="G91" s="10"/>
    </row>
    <row r="92" spans="1:7" ht="14.5">
      <c r="A92" s="6"/>
      <c r="B92" s="7"/>
      <c r="C92" s="10"/>
      <c r="D92" s="10"/>
      <c r="E92" s="53"/>
      <c r="F92" s="10"/>
      <c r="G92" s="10"/>
    </row>
    <row r="93" spans="1:7" ht="14.5">
      <c r="A93" s="6"/>
      <c r="B93" s="7"/>
      <c r="C93" s="10"/>
      <c r="D93" s="10"/>
      <c r="E93" s="53"/>
      <c r="F93" s="10"/>
      <c r="G93" s="10"/>
    </row>
    <row r="94" spans="1:7" ht="14.5">
      <c r="A94" s="6"/>
      <c r="B94" s="7"/>
      <c r="C94" s="10"/>
      <c r="D94" s="10"/>
      <c r="E94" s="53"/>
      <c r="F94" s="10"/>
      <c r="G94" s="10"/>
    </row>
    <row r="95" spans="1:7" ht="14.5">
      <c r="A95" s="6"/>
      <c r="B95" s="7"/>
      <c r="C95" s="10"/>
      <c r="D95" s="10"/>
      <c r="E95" s="53"/>
      <c r="F95" s="10"/>
      <c r="G95" s="10"/>
    </row>
    <row r="96" spans="1:7" ht="14.5">
      <c r="A96" s="6"/>
      <c r="B96" s="7"/>
      <c r="C96" s="10"/>
      <c r="D96" s="10"/>
      <c r="E96" s="53"/>
      <c r="F96" s="10"/>
      <c r="G96" s="10"/>
    </row>
    <row r="97" spans="1:7" ht="14.5">
      <c r="A97" s="6"/>
      <c r="B97" s="7"/>
      <c r="C97" s="10"/>
      <c r="D97" s="10"/>
      <c r="E97" s="53"/>
      <c r="F97" s="10"/>
      <c r="G97" s="10"/>
    </row>
    <row r="98" spans="1:7" ht="14.5">
      <c r="A98" s="6"/>
      <c r="B98" s="7"/>
      <c r="C98" s="10"/>
      <c r="D98" s="10"/>
      <c r="E98" s="53"/>
      <c r="F98" s="10"/>
      <c r="G98" s="10"/>
    </row>
    <row r="99" spans="1:7" ht="14.5">
      <c r="A99" s="6"/>
      <c r="B99" s="7"/>
      <c r="C99" s="10"/>
      <c r="D99" s="10"/>
      <c r="E99" s="53"/>
      <c r="F99" s="10"/>
      <c r="G99" s="10"/>
    </row>
    <row r="100" spans="1:7" ht="14.5">
      <c r="A100" s="6"/>
      <c r="B100" s="7"/>
      <c r="C100" s="10"/>
      <c r="D100" s="10"/>
      <c r="E100" s="53"/>
      <c r="F100" s="10"/>
      <c r="G100" s="10"/>
    </row>
    <row r="101" spans="1:7" ht="14.5">
      <c r="A101" s="6"/>
      <c r="B101" s="7"/>
      <c r="C101" s="10"/>
      <c r="D101" s="10"/>
      <c r="E101" s="53"/>
      <c r="F101" s="10"/>
      <c r="G101" s="10"/>
    </row>
    <row r="102" spans="1:7" ht="14.5">
      <c r="A102" s="6"/>
      <c r="B102" s="7"/>
      <c r="C102" s="10"/>
      <c r="D102" s="10"/>
      <c r="E102" s="53"/>
      <c r="F102" s="10"/>
      <c r="G102" s="10"/>
    </row>
    <row r="103" spans="1:7" ht="14.5">
      <c r="A103" s="6"/>
      <c r="B103" s="7"/>
      <c r="C103" s="10"/>
      <c r="D103" s="10"/>
      <c r="E103" s="53"/>
      <c r="F103" s="10"/>
      <c r="G103" s="10"/>
    </row>
    <row r="104" spans="1:7" ht="14.5">
      <c r="A104" s="6"/>
      <c r="B104" s="7"/>
      <c r="C104" s="10"/>
      <c r="D104" s="10"/>
      <c r="E104" s="53"/>
      <c r="F104" s="10"/>
      <c r="G104" s="10"/>
    </row>
    <row r="105" spans="1:7" ht="14.5">
      <c r="A105" s="6"/>
      <c r="B105" s="7"/>
      <c r="C105" s="10"/>
      <c r="D105" s="10"/>
      <c r="E105" s="53"/>
      <c r="F105" s="10"/>
      <c r="G105" s="10"/>
    </row>
    <row r="106" spans="1:7" ht="14.5">
      <c r="A106" s="6"/>
      <c r="B106" s="7"/>
      <c r="C106" s="10"/>
      <c r="D106" s="10"/>
      <c r="E106" s="53"/>
      <c r="F106" s="10"/>
      <c r="G106" s="10"/>
    </row>
    <row r="107" spans="1:7" ht="14.5">
      <c r="A107" s="6"/>
      <c r="B107" s="7"/>
      <c r="C107" s="10"/>
      <c r="D107" s="10"/>
      <c r="E107" s="53"/>
      <c r="F107" s="10"/>
      <c r="G107" s="10"/>
    </row>
    <row r="108" spans="1:7" ht="14.5">
      <c r="A108" s="6"/>
      <c r="B108" s="7"/>
      <c r="C108" s="10"/>
      <c r="D108" s="10"/>
      <c r="E108" s="53"/>
      <c r="F108" s="10"/>
      <c r="G108" s="10"/>
    </row>
    <row r="109" spans="1:7" ht="14.5">
      <c r="A109" s="6"/>
      <c r="B109" s="7"/>
      <c r="C109" s="10"/>
      <c r="D109" s="10"/>
      <c r="E109" s="53"/>
      <c r="F109" s="10"/>
      <c r="G109" s="10"/>
    </row>
    <row r="110" spans="1:7" ht="14.5">
      <c r="A110" s="6"/>
      <c r="B110" s="7"/>
      <c r="C110" s="10"/>
      <c r="D110" s="10"/>
      <c r="E110" s="53"/>
      <c r="F110" s="10"/>
      <c r="G110" s="10"/>
    </row>
    <row r="111" spans="1:7" ht="14.5">
      <c r="A111" s="6"/>
      <c r="B111" s="7"/>
      <c r="C111" s="10"/>
      <c r="D111" s="10"/>
      <c r="E111" s="53"/>
      <c r="F111" s="10"/>
      <c r="G111" s="10"/>
    </row>
    <row r="112" spans="1:7" ht="14.5">
      <c r="A112" s="6"/>
      <c r="B112" s="7"/>
      <c r="C112" s="10"/>
      <c r="D112" s="10"/>
      <c r="E112" s="53"/>
      <c r="F112" s="10"/>
      <c r="G112" s="10"/>
    </row>
    <row r="113" spans="1:7" ht="14.5">
      <c r="A113" s="6"/>
      <c r="B113" s="7"/>
      <c r="C113" s="10"/>
      <c r="D113" s="10"/>
      <c r="E113" s="53"/>
      <c r="F113" s="10"/>
      <c r="G113" s="10"/>
    </row>
    <row r="114" spans="1:7" ht="14.5">
      <c r="A114" s="6"/>
      <c r="B114" s="7"/>
      <c r="C114" s="10"/>
      <c r="D114" s="10"/>
      <c r="E114" s="53"/>
      <c r="F114" s="10"/>
      <c r="G114" s="10"/>
    </row>
    <row r="115" spans="1:7" ht="14.5">
      <c r="A115" s="6"/>
      <c r="B115" s="7"/>
      <c r="C115" s="10"/>
      <c r="D115" s="10"/>
      <c r="E115" s="53"/>
      <c r="F115" s="10"/>
      <c r="G115" s="10"/>
    </row>
    <row r="116" spans="1:7" ht="14.5">
      <c r="A116" s="6"/>
      <c r="B116" s="7"/>
      <c r="C116" s="10"/>
      <c r="D116" s="10"/>
      <c r="E116" s="53"/>
      <c r="F116" s="10"/>
      <c r="G116" s="10"/>
    </row>
    <row r="117" spans="1:7" ht="14.5">
      <c r="A117" s="6"/>
      <c r="B117" s="7"/>
      <c r="C117" s="10"/>
      <c r="D117" s="10"/>
      <c r="E117" s="53"/>
      <c r="F117" s="10"/>
      <c r="G117" s="10"/>
    </row>
    <row r="118" spans="1:7" ht="14.5">
      <c r="A118" s="6"/>
      <c r="B118" s="7"/>
      <c r="C118" s="10"/>
      <c r="D118" s="10"/>
      <c r="E118" s="53"/>
      <c r="F118" s="10"/>
      <c r="G118" s="10"/>
    </row>
    <row r="119" spans="1:7" ht="14.5">
      <c r="A119" s="6"/>
      <c r="B119" s="7"/>
      <c r="C119" s="10"/>
      <c r="D119" s="10"/>
      <c r="E119" s="53"/>
      <c r="F119" s="10"/>
      <c r="G119" s="10"/>
    </row>
    <row r="120" spans="1:7" ht="14.5">
      <c r="A120" s="6"/>
      <c r="B120" s="7"/>
      <c r="C120" s="10"/>
      <c r="D120" s="10"/>
      <c r="E120" s="53"/>
      <c r="F120" s="10"/>
      <c r="G120" s="10"/>
    </row>
    <row r="121" spans="1:7" ht="14.5">
      <c r="A121" s="6"/>
      <c r="B121" s="7"/>
      <c r="C121" s="10"/>
      <c r="D121" s="10"/>
      <c r="E121" s="53"/>
      <c r="F121" s="10"/>
      <c r="G121" s="10"/>
    </row>
    <row r="122" spans="1:7" ht="14.5">
      <c r="A122" s="6"/>
      <c r="B122" s="7"/>
      <c r="C122" s="10"/>
      <c r="D122" s="10"/>
      <c r="E122" s="53"/>
      <c r="F122" s="10"/>
      <c r="G122" s="10"/>
    </row>
    <row r="123" spans="1:7" ht="14.5">
      <c r="A123" s="6"/>
      <c r="B123" s="7"/>
      <c r="C123" s="10"/>
      <c r="D123" s="10"/>
      <c r="E123" s="53"/>
      <c r="F123" s="10"/>
      <c r="G123" s="10"/>
    </row>
    <row r="124" spans="1:7" ht="14.5">
      <c r="A124" s="6"/>
      <c r="B124" s="7"/>
      <c r="C124" s="10"/>
      <c r="D124" s="10"/>
      <c r="E124" s="53"/>
      <c r="F124" s="10"/>
      <c r="G124" s="10"/>
    </row>
    <row r="125" spans="1:7" ht="14.5">
      <c r="A125" s="6"/>
      <c r="B125" s="7"/>
      <c r="C125" s="10"/>
      <c r="D125" s="10"/>
      <c r="E125" s="53"/>
      <c r="F125" s="10"/>
      <c r="G125" s="10"/>
    </row>
    <row r="126" spans="1:7" ht="14.5">
      <c r="A126" s="6"/>
      <c r="B126" s="7"/>
      <c r="C126" s="10"/>
      <c r="D126" s="10"/>
      <c r="E126" s="53"/>
      <c r="F126" s="10"/>
      <c r="G126" s="10"/>
    </row>
    <row r="127" spans="1:7" ht="14.5">
      <c r="A127" s="6"/>
      <c r="B127" s="7"/>
      <c r="C127" s="10"/>
      <c r="D127" s="10"/>
      <c r="E127" s="53"/>
      <c r="F127" s="10"/>
      <c r="G127" s="10"/>
    </row>
    <row r="128" spans="1:7" ht="14.5">
      <c r="A128" s="6"/>
      <c r="B128" s="7"/>
      <c r="C128" s="10"/>
      <c r="D128" s="10"/>
      <c r="E128" s="53"/>
      <c r="F128" s="10"/>
      <c r="G128" s="10"/>
    </row>
    <row r="129" spans="1:7" ht="14.5">
      <c r="A129" s="6"/>
      <c r="B129" s="7"/>
      <c r="C129" s="10"/>
      <c r="D129" s="10"/>
      <c r="E129" s="53"/>
      <c r="F129" s="10"/>
      <c r="G129" s="10"/>
    </row>
    <row r="130" spans="1:7" ht="14.5">
      <c r="A130" s="6"/>
      <c r="B130" s="7"/>
      <c r="C130" s="10"/>
      <c r="D130" s="10"/>
      <c r="E130" s="53"/>
      <c r="F130" s="10"/>
      <c r="G130" s="10"/>
    </row>
    <row r="131" spans="1:7" ht="14.5">
      <c r="A131" s="6"/>
      <c r="B131" s="7"/>
      <c r="C131" s="10"/>
      <c r="D131" s="10"/>
      <c r="E131" s="53"/>
      <c r="F131" s="10"/>
      <c r="G131" s="10"/>
    </row>
    <row r="132" spans="1:7" ht="14.5">
      <c r="A132" s="6"/>
      <c r="B132" s="7"/>
      <c r="C132" s="10"/>
      <c r="D132" s="10"/>
      <c r="E132" s="53"/>
      <c r="F132" s="10"/>
      <c r="G132" s="10"/>
    </row>
    <row r="133" spans="1:7" ht="14.5">
      <c r="A133" s="6"/>
      <c r="B133" s="7"/>
      <c r="C133" s="10"/>
      <c r="D133" s="10"/>
      <c r="E133" s="53"/>
      <c r="F133" s="10"/>
      <c r="G133" s="10"/>
    </row>
    <row r="134" spans="1:7" ht="14.5">
      <c r="A134" s="6"/>
      <c r="B134" s="7"/>
      <c r="C134" s="10"/>
      <c r="D134" s="10"/>
      <c r="E134" s="53"/>
      <c r="F134" s="10"/>
      <c r="G134" s="10"/>
    </row>
    <row r="135" spans="1:7" ht="14.5">
      <c r="A135" s="204"/>
      <c r="B135" s="7"/>
      <c r="C135" s="222"/>
      <c r="D135" s="226"/>
      <c r="E135" s="48"/>
      <c r="F135" s="10"/>
    </row>
    <row r="136" spans="1:7" ht="14.5">
      <c r="A136" s="204"/>
      <c r="B136" s="7"/>
      <c r="C136" s="222"/>
      <c r="D136" s="226"/>
      <c r="E136" s="48"/>
      <c r="F136" s="10"/>
    </row>
    <row r="137" spans="1:7" ht="14.5">
      <c r="A137" s="204"/>
      <c r="B137" s="7"/>
      <c r="C137" s="222"/>
      <c r="D137" s="226"/>
      <c r="E137" s="48"/>
      <c r="F137" s="10"/>
    </row>
    <row r="138" spans="1:7" ht="14.5">
      <c r="A138" s="204"/>
      <c r="B138" s="7"/>
      <c r="C138" s="222"/>
      <c r="D138" s="226"/>
      <c r="E138" s="48"/>
      <c r="F138" s="10"/>
    </row>
    <row r="139" spans="1:7" ht="14.5">
      <c r="A139" s="204"/>
      <c r="B139" s="7"/>
      <c r="C139" s="222"/>
      <c r="D139" s="226"/>
      <c r="E139" s="48"/>
      <c r="F139" s="10"/>
    </row>
    <row r="140" spans="1:7" ht="14.5">
      <c r="A140" s="204"/>
      <c r="B140" s="7"/>
      <c r="C140" s="222"/>
      <c r="D140" s="40"/>
      <c r="E140" s="56"/>
      <c r="F140" s="10"/>
    </row>
    <row r="141" spans="1:7" ht="14.5">
      <c r="A141" s="204"/>
      <c r="B141" s="7"/>
      <c r="C141" s="222"/>
      <c r="D141" s="225"/>
      <c r="E141" s="224"/>
      <c r="F141" s="10"/>
    </row>
    <row r="142" spans="1:7" ht="14.5">
      <c r="A142" s="204"/>
      <c r="B142" s="7"/>
      <c r="C142" s="222"/>
      <c r="D142" s="226"/>
      <c r="E142" s="224"/>
      <c r="F142" s="10"/>
    </row>
    <row r="143" spans="1:7" ht="14.5">
      <c r="A143" s="204"/>
      <c r="B143" s="7"/>
      <c r="C143" s="40"/>
      <c r="D143" s="40"/>
      <c r="E143" s="80"/>
      <c r="F143" s="10"/>
    </row>
    <row r="144" spans="1:7" ht="14.5">
      <c r="A144" s="204"/>
      <c r="B144" s="7"/>
      <c r="C144" s="40"/>
      <c r="D144" s="40"/>
      <c r="E144" s="80"/>
      <c r="F144" s="10"/>
    </row>
    <row r="145" spans="1:6" ht="14.5">
      <c r="A145" s="204"/>
      <c r="B145" s="7"/>
      <c r="C145" s="222"/>
      <c r="D145" s="226"/>
      <c r="E145" s="80"/>
    </row>
    <row r="146" spans="1:6" ht="14.5">
      <c r="A146" s="204"/>
      <c r="B146" s="7"/>
      <c r="C146" s="222"/>
      <c r="D146" s="226"/>
      <c r="E146" s="80"/>
    </row>
    <row r="147" spans="1:6" ht="14.5">
      <c r="A147" s="204"/>
      <c r="B147" s="7"/>
      <c r="C147" s="222"/>
      <c r="D147" s="226"/>
      <c r="E147" s="80"/>
    </row>
    <row r="148" spans="1:6" ht="14.5">
      <c r="A148" s="204"/>
      <c r="B148" s="7"/>
      <c r="C148" s="222"/>
      <c r="D148" s="225"/>
      <c r="E148" s="224"/>
      <c r="F148" s="10"/>
    </row>
    <row r="149" spans="1:6" ht="14.5">
      <c r="A149" s="204"/>
      <c r="B149" s="7"/>
      <c r="C149" s="222"/>
      <c r="D149" s="223"/>
      <c r="E149" s="224"/>
      <c r="F149" s="10"/>
    </row>
    <row r="150" spans="1:6" ht="14.5">
      <c r="A150" s="204"/>
      <c r="B150" s="7"/>
      <c r="C150" s="222"/>
      <c r="D150" s="223"/>
      <c r="E150" s="224"/>
      <c r="F150" s="10"/>
    </row>
    <row r="151" spans="1:6" ht="14.5">
      <c r="A151" s="204"/>
      <c r="B151" s="7"/>
      <c r="C151" s="41"/>
      <c r="D151" s="41"/>
      <c r="E151" s="80"/>
      <c r="F151" s="10"/>
    </row>
    <row r="152" spans="1:6" ht="14.5">
      <c r="A152" s="204"/>
      <c r="B152" s="7"/>
      <c r="C152" s="41"/>
      <c r="D152" s="41"/>
      <c r="E152" s="43"/>
      <c r="F152" s="10"/>
    </row>
    <row r="153" spans="1:6" ht="14.5">
      <c r="A153" s="204"/>
      <c r="B153" s="7"/>
      <c r="C153" s="41"/>
      <c r="D153" s="41"/>
      <c r="E153" s="43"/>
      <c r="F153" s="10"/>
    </row>
    <row r="154" spans="1:6" ht="14.5">
      <c r="A154" s="204"/>
      <c r="B154" s="7"/>
      <c r="C154" s="41"/>
      <c r="D154" s="41"/>
      <c r="E154" s="43"/>
      <c r="F154" s="10"/>
    </row>
    <row r="155" spans="1:6" ht="14.5">
      <c r="A155" s="204"/>
      <c r="B155" s="7"/>
      <c r="C155" s="222"/>
      <c r="D155" s="226"/>
      <c r="E155" s="80"/>
    </row>
    <row r="156" spans="1:6" ht="14.5">
      <c r="A156" s="204"/>
      <c r="B156" s="7"/>
      <c r="C156" s="222"/>
      <c r="D156" s="226"/>
      <c r="E156" s="80"/>
    </row>
    <row r="157" spans="1:6" ht="14.5">
      <c r="A157" s="204"/>
      <c r="B157" s="7"/>
      <c r="C157" s="222"/>
      <c r="D157" s="226"/>
      <c r="E157" s="80"/>
    </row>
    <row r="158" spans="1:6" ht="14.5">
      <c r="A158" s="204"/>
      <c r="B158" s="7"/>
      <c r="C158" s="222"/>
      <c r="D158" s="54"/>
      <c r="E158" s="81"/>
      <c r="F158" s="10"/>
    </row>
    <row r="159" spans="1:6" ht="14.5">
      <c r="A159" s="204"/>
      <c r="B159" s="7"/>
      <c r="C159" s="222"/>
      <c r="D159" s="40"/>
      <c r="E159" s="80"/>
      <c r="F159" s="10"/>
    </row>
    <row r="160" spans="1:6" ht="14.5">
      <c r="A160" s="204"/>
      <c r="B160" s="7"/>
      <c r="C160" s="222"/>
      <c r="D160" s="40"/>
      <c r="E160" s="224"/>
      <c r="F160" s="10"/>
    </row>
    <row r="161" spans="1:3" ht="14.5">
      <c r="A161" s="2"/>
      <c r="C161" s="223"/>
    </row>
    <row r="162" spans="1:3" ht="14.5">
      <c r="A162" s="2"/>
    </row>
    <row r="163" spans="1:3" ht="14.5">
      <c r="A163" s="2"/>
    </row>
    <row r="164" spans="1:3" ht="14.5">
      <c r="A164" s="2"/>
    </row>
    <row r="165" spans="1:3" ht="14.5">
      <c r="A165" s="2"/>
    </row>
    <row r="166" spans="1:3" ht="14.5">
      <c r="A166" s="2"/>
    </row>
    <row r="167" spans="1:3" ht="14.5">
      <c r="A167" s="2"/>
    </row>
    <row r="168" spans="1:3" ht="14.5">
      <c r="A168" s="2"/>
    </row>
    <row r="169" spans="1:3" ht="14.5">
      <c r="A169" s="2"/>
    </row>
    <row r="170" spans="1:3" ht="14.5">
      <c r="A170" s="2"/>
    </row>
    <row r="171" spans="1:3" ht="14.5">
      <c r="A171" s="2"/>
    </row>
    <row r="172" spans="1:3" ht="14.5">
      <c r="A172" s="2"/>
    </row>
    <row r="173" spans="1:3" ht="14.5">
      <c r="A173" s="2"/>
    </row>
    <row r="174" spans="1:3" ht="14.5">
      <c r="A174" s="2"/>
    </row>
    <row r="175" spans="1:3" ht="14.5">
      <c r="A175" s="2"/>
    </row>
    <row r="176" spans="1:3" ht="14.5">
      <c r="A176" s="2"/>
    </row>
    <row r="177" spans="1:1" ht="14.5">
      <c r="A177" s="2"/>
    </row>
    <row r="178" spans="1:1" ht="14.5">
      <c r="A178" s="2"/>
    </row>
    <row r="179" spans="1:1" ht="14.5">
      <c r="A179" s="2"/>
    </row>
    <row r="180" spans="1:1" ht="14.5">
      <c r="A180" s="2"/>
    </row>
    <row r="181" spans="1:1" ht="14.5">
      <c r="A181" s="2"/>
    </row>
    <row r="182" spans="1:1" ht="14.5">
      <c r="A182" s="2"/>
    </row>
    <row r="183" spans="1:1" ht="14.5">
      <c r="A183" s="2"/>
    </row>
    <row r="184" spans="1:1" ht="14.5">
      <c r="A184" s="2"/>
    </row>
    <row r="185" spans="1:1" ht="14.5">
      <c r="A185" s="2"/>
    </row>
    <row r="186" spans="1:1" ht="14.5">
      <c r="A186" s="2"/>
    </row>
    <row r="187" spans="1:1" ht="14.5">
      <c r="A187" s="2"/>
    </row>
    <row r="188" spans="1:1" ht="14.5">
      <c r="A188" s="2"/>
    </row>
    <row r="189" spans="1:1" ht="14.5">
      <c r="A189" s="2"/>
    </row>
    <row r="190" spans="1:1" ht="14.5">
      <c r="A190" s="2"/>
    </row>
    <row r="191" spans="1:1" ht="14.5">
      <c r="A191" s="2"/>
    </row>
    <row r="192" spans="1:1" ht="14.5">
      <c r="A192" s="2"/>
    </row>
    <row r="193" spans="1:1" ht="14.5">
      <c r="A193" s="2"/>
    </row>
    <row r="194" spans="1:1" ht="14.5">
      <c r="A194" s="2"/>
    </row>
    <row r="195" spans="1:1" ht="14.5">
      <c r="A195" s="2"/>
    </row>
    <row r="196" spans="1:1" ht="14.5">
      <c r="A196" s="2"/>
    </row>
    <row r="197" spans="1:1" ht="14.5">
      <c r="A197" s="2"/>
    </row>
    <row r="198" spans="1:1" ht="14.5">
      <c r="A198" s="2"/>
    </row>
    <row r="199" spans="1:1" ht="14.5">
      <c r="A199" s="2"/>
    </row>
    <row r="200" spans="1:1" ht="14.5">
      <c r="A200" s="2"/>
    </row>
    <row r="201" spans="1:1" ht="14.5">
      <c r="A201" s="2"/>
    </row>
    <row r="202" spans="1:1" ht="14.5">
      <c r="A202" s="2"/>
    </row>
    <row r="203" spans="1:1" ht="14.5">
      <c r="A203" s="2"/>
    </row>
    <row r="204" spans="1:1" ht="14.5">
      <c r="A204" s="2"/>
    </row>
    <row r="205" spans="1:1" ht="14.5">
      <c r="A205" s="2"/>
    </row>
    <row r="206" spans="1:1" ht="14.5">
      <c r="A206" s="2"/>
    </row>
    <row r="207" spans="1:1" ht="14.5">
      <c r="A207" s="2"/>
    </row>
    <row r="208" spans="1:1" ht="14.5">
      <c r="A208" s="2"/>
    </row>
    <row r="209" spans="1:1" ht="14.5">
      <c r="A209" s="2"/>
    </row>
    <row r="210" spans="1:1" ht="14.5">
      <c r="A210" s="2"/>
    </row>
    <row r="211" spans="1:1" ht="14.5">
      <c r="A211" s="2"/>
    </row>
    <row r="212" spans="1:1" ht="14.5">
      <c r="A212" s="2"/>
    </row>
    <row r="213" spans="1:1" ht="14.5">
      <c r="A213" s="2"/>
    </row>
    <row r="214" spans="1:1" ht="14.5">
      <c r="A214" s="2"/>
    </row>
    <row r="215" spans="1:1" ht="14.5">
      <c r="A215" s="2"/>
    </row>
    <row r="216" spans="1:1" ht="14.5">
      <c r="A216" s="2"/>
    </row>
    <row r="217" spans="1:1" ht="14.5">
      <c r="A217" s="2"/>
    </row>
    <row r="218" spans="1:1" ht="14.5">
      <c r="A218" s="2"/>
    </row>
    <row r="219" spans="1:1" ht="14.5">
      <c r="A219" s="2"/>
    </row>
    <row r="220" spans="1:1" ht="14.5">
      <c r="A220" s="2"/>
    </row>
    <row r="221" spans="1:1" ht="14.5">
      <c r="A221" s="2"/>
    </row>
    <row r="222" spans="1:1" ht="14.5">
      <c r="A222" s="2"/>
    </row>
    <row r="223" spans="1:1" ht="14.5">
      <c r="A223" s="2"/>
    </row>
    <row r="224" spans="1:1" ht="14.5">
      <c r="A224" s="2"/>
    </row>
    <row r="225" spans="1:1" ht="14.5">
      <c r="A225" s="2"/>
    </row>
    <row r="226" spans="1:1" ht="14.5">
      <c r="A226" s="2"/>
    </row>
    <row r="227" spans="1:1" ht="14.5">
      <c r="A227" s="2"/>
    </row>
    <row r="228" spans="1:1" ht="14.5">
      <c r="A228" s="2"/>
    </row>
    <row r="229" spans="1:1" ht="14.5">
      <c r="A229" s="2"/>
    </row>
    <row r="230" spans="1:1" ht="14.5">
      <c r="A230" s="2"/>
    </row>
    <row r="231" spans="1:1" ht="14.5">
      <c r="A231" s="2"/>
    </row>
    <row r="232" spans="1:1" ht="14.5">
      <c r="A232" s="2"/>
    </row>
    <row r="233" spans="1:1" ht="14.5">
      <c r="A233" s="2"/>
    </row>
    <row r="234" spans="1:1" ht="14.5">
      <c r="A234" s="2"/>
    </row>
    <row r="235" spans="1:1" ht="14.5">
      <c r="A235" s="2"/>
    </row>
    <row r="236" spans="1:1" ht="14.5">
      <c r="A236" s="2"/>
    </row>
    <row r="237" spans="1:1" ht="14.5">
      <c r="A237" s="2"/>
    </row>
    <row r="238" spans="1:1" ht="14.5">
      <c r="A238" s="2"/>
    </row>
    <row r="239" spans="1:1" ht="14.5">
      <c r="A239" s="2"/>
    </row>
    <row r="240" spans="1:1" ht="14.5">
      <c r="A240" s="2"/>
    </row>
    <row r="241" spans="1:1" ht="14.5">
      <c r="A241" s="2"/>
    </row>
    <row r="242" spans="1:1" ht="14.5">
      <c r="A242" s="2"/>
    </row>
    <row r="243" spans="1:1" ht="14.5">
      <c r="A243" s="2"/>
    </row>
    <row r="244" spans="1:1" ht="14.5">
      <c r="A244" s="2"/>
    </row>
    <row r="245" spans="1:1" ht="14.5">
      <c r="A245" s="2"/>
    </row>
    <row r="246" spans="1:1" ht="14.5">
      <c r="A246" s="2"/>
    </row>
    <row r="247" spans="1:1" ht="14.5">
      <c r="A247" s="2"/>
    </row>
    <row r="248" spans="1:1" ht="14.5">
      <c r="A248" s="2"/>
    </row>
    <row r="249" spans="1:1" ht="14.5">
      <c r="A249" s="2"/>
    </row>
    <row r="250" spans="1:1" ht="14.5">
      <c r="A250" s="2"/>
    </row>
    <row r="251" spans="1:1" ht="14.5">
      <c r="A251" s="2"/>
    </row>
    <row r="252" spans="1:1" ht="14.5">
      <c r="A252" s="2"/>
    </row>
    <row r="253" spans="1:1" ht="14.5">
      <c r="A253" s="2"/>
    </row>
    <row r="254" spans="1:1" ht="14.5">
      <c r="A254" s="2"/>
    </row>
    <row r="255" spans="1:1" ht="14.5">
      <c r="A255" s="2"/>
    </row>
    <row r="256" spans="1:1" ht="14.5">
      <c r="A256" s="2"/>
    </row>
    <row r="257" spans="1:1" ht="14.5">
      <c r="A257" s="2"/>
    </row>
    <row r="258" spans="1:1" ht="14.5">
      <c r="A258" s="2"/>
    </row>
    <row r="259" spans="1:1" ht="14.5">
      <c r="A259" s="2"/>
    </row>
    <row r="260" spans="1:1" ht="14.5">
      <c r="A260" s="2"/>
    </row>
    <row r="261" spans="1:1" ht="14.5">
      <c r="A261" s="2"/>
    </row>
    <row r="262" spans="1:1" ht="14.5">
      <c r="A262" s="2"/>
    </row>
    <row r="263" spans="1:1" ht="14.5">
      <c r="A263" s="2"/>
    </row>
    <row r="264" spans="1:1" ht="14.5">
      <c r="A264" s="2"/>
    </row>
    <row r="265" spans="1:1" ht="14.5">
      <c r="A265" s="2"/>
    </row>
    <row r="266" spans="1:1" ht="14.5">
      <c r="A266" s="2"/>
    </row>
    <row r="267" spans="1:1" ht="14.5">
      <c r="A267" s="2"/>
    </row>
    <row r="268" spans="1:1" ht="14.5">
      <c r="A268" s="2"/>
    </row>
    <row r="269" spans="1:1" ht="14.5">
      <c r="A269" s="2"/>
    </row>
    <row r="270" spans="1:1" ht="14.5">
      <c r="A270" s="2"/>
    </row>
    <row r="271" spans="1:1" ht="14.5">
      <c r="A271" s="2"/>
    </row>
    <row r="272" spans="1:1" ht="14.5">
      <c r="A272" s="2"/>
    </row>
    <row r="273" spans="1:1" ht="14.5">
      <c r="A273" s="2"/>
    </row>
    <row r="274" spans="1:1" ht="14.5">
      <c r="A274" s="2"/>
    </row>
    <row r="275" spans="1:1" ht="14.5">
      <c r="A275" s="2"/>
    </row>
    <row r="276" spans="1:1" ht="14.5">
      <c r="A276" s="2"/>
    </row>
    <row r="277" spans="1:1" ht="14.5">
      <c r="A277" s="2"/>
    </row>
    <row r="278" spans="1:1" ht="14.5">
      <c r="A278" s="2"/>
    </row>
    <row r="279" spans="1:1" ht="14.5">
      <c r="A279" s="2"/>
    </row>
    <row r="280" spans="1:1" ht="14.5">
      <c r="A280" s="2"/>
    </row>
    <row r="281" spans="1:1" ht="14.5">
      <c r="A281" s="2"/>
    </row>
    <row r="282" spans="1:1" ht="14.5">
      <c r="A282" s="2"/>
    </row>
    <row r="283" spans="1:1" ht="14.5">
      <c r="A283" s="2"/>
    </row>
    <row r="284" spans="1:1" ht="14.5">
      <c r="A284" s="2"/>
    </row>
    <row r="285" spans="1:1" ht="14.5">
      <c r="A285" s="2"/>
    </row>
    <row r="286" spans="1:1" ht="14.5">
      <c r="A286" s="2"/>
    </row>
    <row r="287" spans="1:1" ht="14.5">
      <c r="A287" s="2"/>
    </row>
    <row r="288" spans="1:1" ht="14.5">
      <c r="A288" s="2"/>
    </row>
    <row r="289" spans="1:1" ht="14.5">
      <c r="A289" s="2"/>
    </row>
    <row r="290" spans="1:1" ht="14.5">
      <c r="A290" s="2"/>
    </row>
    <row r="291" spans="1:1" ht="14.5">
      <c r="A291" s="2"/>
    </row>
    <row r="292" spans="1:1" ht="14.5">
      <c r="A292" s="2"/>
    </row>
    <row r="293" spans="1:1" ht="14.5">
      <c r="A293" s="2"/>
    </row>
    <row r="294" spans="1:1" ht="14.5">
      <c r="A294" s="2"/>
    </row>
    <row r="295" spans="1:1" ht="14.5">
      <c r="A295" s="2"/>
    </row>
    <row r="296" spans="1:1" ht="14.5">
      <c r="A296" s="2"/>
    </row>
    <row r="297" spans="1:1" ht="14.5">
      <c r="A297" s="2"/>
    </row>
    <row r="298" spans="1:1" ht="14.5">
      <c r="A298" s="2"/>
    </row>
    <row r="299" spans="1:1" ht="14.5">
      <c r="A299" s="2"/>
    </row>
    <row r="300" spans="1:1" ht="14.5">
      <c r="A300" s="2"/>
    </row>
    <row r="301" spans="1:1" ht="14.5">
      <c r="A301" s="2"/>
    </row>
    <row r="302" spans="1:1" ht="14.5">
      <c r="A302" s="2"/>
    </row>
    <row r="303" spans="1:1" ht="14.5">
      <c r="A303" s="2"/>
    </row>
    <row r="304" spans="1:1" ht="14.5">
      <c r="A304" s="2"/>
    </row>
    <row r="305" spans="1:1" ht="14.5">
      <c r="A305" s="2"/>
    </row>
    <row r="306" spans="1:1" ht="14.5">
      <c r="A306" s="2"/>
    </row>
    <row r="307" spans="1:1" ht="14.5">
      <c r="A307" s="2"/>
    </row>
    <row r="308" spans="1:1" ht="14.5">
      <c r="A308" s="2"/>
    </row>
    <row r="309" spans="1:1" ht="14.5">
      <c r="A309" s="2"/>
    </row>
    <row r="310" spans="1:1" ht="14.5">
      <c r="A310" s="2"/>
    </row>
    <row r="311" spans="1:1" ht="14.5">
      <c r="A311" s="2"/>
    </row>
    <row r="312" spans="1:1" ht="14.5">
      <c r="A312" s="2"/>
    </row>
    <row r="313" spans="1:1" ht="14.5">
      <c r="A313" s="2"/>
    </row>
    <row r="314" spans="1:1" ht="14.5">
      <c r="A314" s="2"/>
    </row>
    <row r="315" spans="1:1" ht="14.5">
      <c r="A315" s="2"/>
    </row>
    <row r="316" spans="1:1" ht="14.5">
      <c r="A316" s="2"/>
    </row>
    <row r="317" spans="1:1" ht="14.5">
      <c r="A317" s="2"/>
    </row>
    <row r="318" spans="1:1" ht="14.5">
      <c r="A318" s="2"/>
    </row>
    <row r="319" spans="1:1" ht="14.5">
      <c r="A319" s="2"/>
    </row>
    <row r="320" spans="1:1" ht="14.5">
      <c r="A320" s="2"/>
    </row>
    <row r="321" spans="1:1" ht="14.5">
      <c r="A321" s="2"/>
    </row>
    <row r="322" spans="1:1" ht="14.5">
      <c r="A322" s="2"/>
    </row>
    <row r="323" spans="1:1" ht="14.5">
      <c r="A323" s="2"/>
    </row>
    <row r="324" spans="1:1" ht="14.5">
      <c r="A324" s="2"/>
    </row>
    <row r="325" spans="1:1" ht="14.5">
      <c r="A325" s="2"/>
    </row>
    <row r="326" spans="1:1" ht="14.5">
      <c r="A326" s="2"/>
    </row>
    <row r="327" spans="1:1" ht="14.5">
      <c r="A327" s="2"/>
    </row>
    <row r="328" spans="1:1" ht="14.5">
      <c r="A328" s="2"/>
    </row>
    <row r="329" spans="1:1" ht="14.5">
      <c r="A329" s="2"/>
    </row>
    <row r="330" spans="1:1" ht="14.5">
      <c r="A330" s="2"/>
    </row>
    <row r="331" spans="1:1" ht="14.5">
      <c r="A331" s="2"/>
    </row>
    <row r="332" spans="1:1" ht="14.5">
      <c r="A332" s="2"/>
    </row>
    <row r="333" spans="1:1" ht="14.5">
      <c r="A333" s="2"/>
    </row>
    <row r="334" spans="1:1" ht="14.5">
      <c r="A334" s="2"/>
    </row>
    <row r="335" spans="1:1" ht="14.5">
      <c r="A335" s="2"/>
    </row>
    <row r="336" spans="1:1" ht="14.5">
      <c r="A336" s="2"/>
    </row>
    <row r="337" spans="1:1" ht="14.5">
      <c r="A337" s="2"/>
    </row>
    <row r="338" spans="1:1" ht="14.5">
      <c r="A338" s="2"/>
    </row>
    <row r="339" spans="1:1" ht="14.5">
      <c r="A339" s="2"/>
    </row>
    <row r="340" spans="1:1" ht="14.5">
      <c r="A340" s="2"/>
    </row>
    <row r="341" spans="1:1" ht="14.5">
      <c r="A341" s="2"/>
    </row>
    <row r="342" spans="1:1" ht="14.5">
      <c r="A342" s="2"/>
    </row>
    <row r="343" spans="1:1" ht="12.5"/>
    <row r="344" spans="1:1" ht="12.5"/>
    <row r="345" spans="1:1" ht="12.5"/>
    <row r="346" spans="1:1" ht="12.5"/>
    <row r="347" spans="1:1" ht="12.5"/>
    <row r="348" spans="1:1" ht="12.5"/>
    <row r="349" spans="1:1" ht="12.5"/>
    <row r="350" spans="1:1" ht="12.5"/>
    <row r="351" spans="1:1" ht="12.5"/>
    <row r="352" spans="1:1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</sheetData>
  <autoFilter ref="A1:G136" xr:uid="{00000000-0009-0000-0000-000002000000}"/>
  <dataValidations count="1">
    <dataValidation type="list" allowBlank="1" showErrorMessage="1" sqref="F158:F160 F148:F154 F2:F144" xr:uid="{00000000-0002-0000-0200-000001000000}">
      <formula1>"CEO Transport,CBO Transport,CFO Transport,Expedition,Grab Transport,Office Support Service Plafond,Office Vehicle"</formula1>
    </dataValidation>
  </dataValidation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8"/>
  <sheetViews>
    <sheetView showGridLines="0" workbookViewId="0">
      <selection activeCell="A2" sqref="A2:F15"/>
    </sheetView>
  </sheetViews>
  <sheetFormatPr defaultColWidth="12.54296875" defaultRowHeight="15.75" customHeight="1"/>
  <cols>
    <col min="2" max="2" width="15.54296875" customWidth="1"/>
    <col min="3" max="3" width="63" customWidth="1"/>
    <col min="4" max="4" width="14.7265625" style="50" bestFit="1" customWidth="1"/>
    <col min="5" max="5" width="21.453125" customWidth="1"/>
    <col min="6" max="6" width="18.453125" customWidth="1"/>
  </cols>
  <sheetData>
    <row r="1" spans="1:8" ht="14.5">
      <c r="A1" s="24" t="s">
        <v>0</v>
      </c>
      <c r="B1" s="24" t="s">
        <v>1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8" ht="14.5">
      <c r="A2" s="62">
        <v>45658</v>
      </c>
      <c r="B2" s="63">
        <v>45664</v>
      </c>
      <c r="C2" s="66" t="s">
        <v>559</v>
      </c>
      <c r="D2" s="126">
        <v>756366</v>
      </c>
      <c r="E2" s="66" t="s">
        <v>560</v>
      </c>
      <c r="F2" s="66" t="s">
        <v>134</v>
      </c>
      <c r="H2" s="77"/>
    </row>
    <row r="3" spans="1:8" ht="14.5">
      <c r="A3" s="62">
        <v>45658</v>
      </c>
      <c r="B3" s="63">
        <v>45666</v>
      </c>
      <c r="C3" s="127" t="s">
        <v>561</v>
      </c>
      <c r="D3" s="128">
        <v>13035000</v>
      </c>
      <c r="E3" s="66" t="s">
        <v>562</v>
      </c>
      <c r="F3" s="66" t="s">
        <v>134</v>
      </c>
    </row>
    <row r="4" spans="1:8" ht="14.5">
      <c r="A4" s="62">
        <v>45658</v>
      </c>
      <c r="B4" s="63">
        <v>45666</v>
      </c>
      <c r="C4" s="127" t="s">
        <v>563</v>
      </c>
      <c r="D4" s="95">
        <v>3010000</v>
      </c>
      <c r="E4" s="66" t="s">
        <v>562</v>
      </c>
      <c r="F4" s="66" t="s">
        <v>152</v>
      </c>
    </row>
    <row r="5" spans="1:8" ht="14.5">
      <c r="A5" s="62">
        <v>45658</v>
      </c>
      <c r="B5" s="63">
        <v>45708</v>
      </c>
      <c r="C5" s="66" t="s">
        <v>564</v>
      </c>
      <c r="D5" s="95">
        <v>119064</v>
      </c>
      <c r="E5" s="66" t="s">
        <v>560</v>
      </c>
      <c r="F5" s="66" t="s">
        <v>134</v>
      </c>
    </row>
    <row r="6" spans="1:8" ht="14.5">
      <c r="A6" s="62">
        <v>45689</v>
      </c>
      <c r="B6" s="63">
        <v>45692</v>
      </c>
      <c r="C6" s="129" t="s">
        <v>565</v>
      </c>
      <c r="D6" s="130">
        <v>16016935</v>
      </c>
      <c r="E6" s="66"/>
      <c r="F6" s="66"/>
    </row>
    <row r="7" spans="1:8" ht="14.5">
      <c r="A7" s="62">
        <v>45689</v>
      </c>
      <c r="B7" s="63">
        <v>45693</v>
      </c>
      <c r="C7" s="66" t="s">
        <v>566</v>
      </c>
      <c r="D7" s="95">
        <v>100000</v>
      </c>
      <c r="E7" s="66"/>
      <c r="F7" s="66"/>
    </row>
    <row r="8" spans="1:8" ht="14.5">
      <c r="A8" s="62">
        <v>45689</v>
      </c>
      <c r="B8" s="63">
        <v>45693</v>
      </c>
      <c r="C8" s="66" t="s">
        <v>567</v>
      </c>
      <c r="D8" s="95">
        <f>25000+20000</f>
        <v>45000</v>
      </c>
      <c r="E8" s="66"/>
      <c r="F8" s="66"/>
    </row>
    <row r="9" spans="1:8" ht="14.5">
      <c r="A9" s="62">
        <v>45689</v>
      </c>
      <c r="B9" s="63">
        <v>45693</v>
      </c>
      <c r="C9" s="66" t="s">
        <v>568</v>
      </c>
      <c r="D9" s="95">
        <v>24700</v>
      </c>
      <c r="E9" s="66" t="s">
        <v>560</v>
      </c>
      <c r="F9" s="66" t="s">
        <v>152</v>
      </c>
    </row>
    <row r="10" spans="1:8" ht="14.5">
      <c r="A10" s="62">
        <v>45689</v>
      </c>
      <c r="B10" s="63">
        <v>45694</v>
      </c>
      <c r="C10" s="66" t="s">
        <v>569</v>
      </c>
      <c r="D10" s="95">
        <v>612300</v>
      </c>
      <c r="E10" s="66" t="s">
        <v>562</v>
      </c>
      <c r="F10" s="66" t="s">
        <v>134</v>
      </c>
    </row>
    <row r="11" spans="1:8" ht="14.5">
      <c r="A11" s="62">
        <v>45689</v>
      </c>
      <c r="B11" s="63">
        <v>45699</v>
      </c>
      <c r="C11" s="66" t="s">
        <v>570</v>
      </c>
      <c r="D11" s="95">
        <v>6660000</v>
      </c>
      <c r="E11" s="66"/>
      <c r="F11" s="66"/>
    </row>
    <row r="12" spans="1:8" ht="14.5">
      <c r="A12" s="62">
        <v>45689</v>
      </c>
      <c r="B12" s="63">
        <v>45699</v>
      </c>
      <c r="C12" s="66" t="s">
        <v>571</v>
      </c>
      <c r="D12" s="95">
        <v>1531745</v>
      </c>
      <c r="E12" s="66" t="s">
        <v>572</v>
      </c>
      <c r="F12" s="66" t="s">
        <v>134</v>
      </c>
    </row>
    <row r="13" spans="1:8" ht="14.5">
      <c r="A13" s="62">
        <v>45689</v>
      </c>
      <c r="B13" s="63">
        <v>45699</v>
      </c>
      <c r="C13" s="66" t="s">
        <v>573</v>
      </c>
      <c r="D13" s="95">
        <v>753554</v>
      </c>
      <c r="E13" s="66" t="s">
        <v>560</v>
      </c>
      <c r="F13" s="66" t="s">
        <v>134</v>
      </c>
    </row>
    <row r="14" spans="1:8" ht="14.5">
      <c r="A14" s="62">
        <v>45689</v>
      </c>
      <c r="B14" s="63">
        <v>45699</v>
      </c>
      <c r="C14" s="66" t="s">
        <v>574</v>
      </c>
      <c r="D14" s="95">
        <v>121718</v>
      </c>
      <c r="E14" s="66" t="s">
        <v>560</v>
      </c>
      <c r="F14" s="66" t="s">
        <v>134</v>
      </c>
    </row>
    <row r="15" spans="1:8" ht="14.5">
      <c r="A15" s="62">
        <v>45689</v>
      </c>
      <c r="B15" s="63">
        <v>45699</v>
      </c>
      <c r="C15" s="79" t="s">
        <v>575</v>
      </c>
      <c r="D15" s="96">
        <v>100000</v>
      </c>
      <c r="E15" s="66"/>
      <c r="F15" s="66"/>
    </row>
    <row r="16" spans="1:8" ht="14.5">
      <c r="A16" s="6"/>
      <c r="B16" s="7"/>
      <c r="C16" s="10"/>
      <c r="D16" s="53"/>
      <c r="E16" s="10"/>
      <c r="F16" s="10"/>
    </row>
    <row r="17" spans="1:6" ht="14.5">
      <c r="A17" s="6"/>
      <c r="B17" s="7"/>
      <c r="C17" s="10"/>
      <c r="D17" s="53"/>
      <c r="E17" s="10"/>
      <c r="F17" s="10"/>
    </row>
    <row r="18" spans="1:6" ht="14.5">
      <c r="A18" s="25"/>
      <c r="B18" s="7"/>
      <c r="C18" s="12"/>
      <c r="D18" s="46"/>
      <c r="E18" s="10"/>
      <c r="F18" s="10"/>
    </row>
    <row r="19" spans="1:6" ht="14.5">
      <c r="A19" s="25"/>
      <c r="B19" s="7"/>
      <c r="C19" s="12"/>
      <c r="D19" s="46"/>
      <c r="E19" s="10"/>
      <c r="F19" s="10"/>
    </row>
    <row r="20" spans="1:6" ht="14.5">
      <c r="A20" s="6"/>
      <c r="B20" s="7"/>
      <c r="C20" s="10"/>
      <c r="D20" s="53"/>
      <c r="E20" s="10"/>
      <c r="F20" s="10"/>
    </row>
    <row r="21" spans="1:6" ht="14.5">
      <c r="A21" s="6"/>
      <c r="B21" s="7"/>
      <c r="C21" s="10"/>
      <c r="D21" s="53"/>
      <c r="E21" s="10"/>
      <c r="F21" s="10"/>
    </row>
    <row r="22" spans="1:6" ht="14.5">
      <c r="A22" s="6"/>
      <c r="B22" s="7"/>
      <c r="C22" s="10"/>
      <c r="D22" s="53"/>
      <c r="E22" s="10"/>
      <c r="F22" s="10"/>
    </row>
    <row r="23" spans="1:6" ht="14.5">
      <c r="A23" s="6"/>
      <c r="B23" s="7"/>
      <c r="C23" s="10"/>
      <c r="D23" s="53"/>
      <c r="E23" s="10"/>
      <c r="F23" s="10"/>
    </row>
    <row r="24" spans="1:6" ht="14.5">
      <c r="A24" s="6"/>
      <c r="B24" s="7"/>
      <c r="C24" s="10"/>
      <c r="D24" s="53"/>
      <c r="E24" s="10"/>
      <c r="F24" s="10"/>
    </row>
    <row r="25" spans="1:6" ht="14.5">
      <c r="A25" s="6"/>
      <c r="B25" s="7"/>
      <c r="C25" s="10"/>
      <c r="D25" s="53"/>
      <c r="E25" s="10"/>
      <c r="F25" s="10"/>
    </row>
    <row r="26" spans="1:6" ht="14.5">
      <c r="A26" s="6"/>
      <c r="B26" s="7"/>
      <c r="C26" s="10"/>
      <c r="D26" s="53"/>
      <c r="E26" s="10"/>
      <c r="F26" s="10"/>
    </row>
    <row r="27" spans="1:6" ht="14.5">
      <c r="A27" s="25"/>
      <c r="B27" s="7"/>
      <c r="C27" s="10"/>
      <c r="D27" s="48"/>
      <c r="E27" s="10"/>
      <c r="F27" s="10"/>
    </row>
    <row r="28" spans="1:6" ht="14.5">
      <c r="A28" s="25"/>
      <c r="B28" s="7"/>
      <c r="C28" s="12"/>
      <c r="D28" s="46"/>
      <c r="E28" s="10"/>
      <c r="F28" s="10"/>
    </row>
    <row r="29" spans="1:6" ht="14.5">
      <c r="A29" s="25"/>
      <c r="B29" s="7"/>
      <c r="C29" s="12"/>
      <c r="D29" s="46"/>
      <c r="E29" s="10"/>
      <c r="F29" s="10"/>
    </row>
    <row r="30" spans="1:6" ht="14.5">
      <c r="A30" s="25"/>
      <c r="B30" s="7"/>
      <c r="C30" s="12"/>
      <c r="D30" s="46"/>
      <c r="E30" s="10"/>
      <c r="F30" s="10"/>
    </row>
    <row r="31" spans="1:6" ht="14.5">
      <c r="A31" s="25"/>
      <c r="B31" s="7"/>
      <c r="C31" s="10"/>
      <c r="D31" s="48"/>
      <c r="E31" s="10"/>
      <c r="F31" s="10"/>
    </row>
    <row r="32" spans="1:6" ht="14.5">
      <c r="A32" s="25"/>
      <c r="B32" s="7"/>
      <c r="C32" s="10"/>
      <c r="D32" s="48"/>
      <c r="E32" s="10"/>
      <c r="F32" s="10"/>
    </row>
    <row r="33" spans="1:6" ht="14.5">
      <c r="A33" s="25"/>
      <c r="B33" s="7"/>
      <c r="C33" s="12"/>
      <c r="D33" s="53"/>
      <c r="E33" s="10"/>
      <c r="F33" s="10"/>
    </row>
    <row r="34" spans="1:6" ht="14.5">
      <c r="A34" s="25"/>
      <c r="B34" s="7"/>
      <c r="C34" s="10"/>
      <c r="D34" s="53"/>
      <c r="E34" s="10"/>
      <c r="F34" s="10"/>
    </row>
    <row r="35" spans="1:6" ht="14.5">
      <c r="A35" s="25"/>
      <c r="B35" s="7"/>
      <c r="C35" s="10"/>
      <c r="D35" s="53"/>
      <c r="E35" s="10"/>
      <c r="F35" s="10"/>
    </row>
    <row r="36" spans="1:6" ht="14.5">
      <c r="A36" s="25"/>
      <c r="B36" s="7"/>
      <c r="C36" s="10"/>
      <c r="D36" s="53"/>
      <c r="E36" s="10"/>
      <c r="F36" s="10"/>
    </row>
    <row r="37" spans="1:6" ht="14.5">
      <c r="A37" s="25"/>
      <c r="B37" s="7"/>
      <c r="C37" s="10"/>
      <c r="D37" s="53"/>
      <c r="E37" s="10"/>
      <c r="F37" s="10"/>
    </row>
    <row r="38" spans="1:6" ht="14.5">
      <c r="A38" s="25"/>
      <c r="B38" s="7"/>
      <c r="C38" s="10"/>
      <c r="D38" s="53"/>
      <c r="E38" s="10"/>
      <c r="F38" s="10"/>
    </row>
    <row r="39" spans="1:6" ht="14.5">
      <c r="A39" s="25"/>
      <c r="B39" s="7"/>
      <c r="C39" s="10"/>
      <c r="D39" s="53"/>
      <c r="E39" s="10"/>
      <c r="F39" s="10"/>
    </row>
    <row r="40" spans="1:6" ht="14.5">
      <c r="A40" s="6"/>
      <c r="B40" s="7"/>
      <c r="C40" s="12"/>
      <c r="D40" s="53"/>
      <c r="E40" s="10"/>
      <c r="F40" s="10"/>
    </row>
    <row r="41" spans="1:6" ht="14.5">
      <c r="A41" s="6"/>
      <c r="B41" s="7"/>
      <c r="C41" s="10"/>
      <c r="D41" s="53"/>
      <c r="E41" s="10"/>
      <c r="F41" s="10"/>
    </row>
    <row r="42" spans="1:6" ht="14.5">
      <c r="A42" s="25"/>
      <c r="B42" s="7"/>
      <c r="C42" s="10"/>
      <c r="D42" s="53"/>
      <c r="E42" s="10"/>
      <c r="F42" s="10"/>
    </row>
    <row r="43" spans="1:6" ht="14.5">
      <c r="A43" s="25"/>
      <c r="B43" s="7"/>
      <c r="C43" s="10"/>
      <c r="D43" s="53"/>
      <c r="E43" s="10"/>
      <c r="F43" s="10"/>
    </row>
    <row r="44" spans="1:6" ht="14.5">
      <c r="A44" s="25"/>
      <c r="B44" s="7"/>
      <c r="C44" s="10"/>
      <c r="D44" s="53"/>
      <c r="E44" s="10"/>
      <c r="F44" s="10"/>
    </row>
    <row r="45" spans="1:6" ht="14.5">
      <c r="A45" s="6"/>
      <c r="B45" s="7"/>
      <c r="C45" s="10"/>
      <c r="D45" s="53"/>
      <c r="E45" s="10"/>
      <c r="F45" s="10"/>
    </row>
    <row r="46" spans="1:6" ht="14.5">
      <c r="A46" s="25"/>
      <c r="B46" s="7"/>
      <c r="C46" s="12"/>
      <c r="D46" s="53"/>
      <c r="E46" s="10"/>
      <c r="F46" s="10"/>
    </row>
    <row r="47" spans="1:6" ht="14.5">
      <c r="A47" s="25"/>
      <c r="B47" s="7"/>
      <c r="C47" s="10"/>
      <c r="D47" s="53"/>
      <c r="E47" s="10"/>
      <c r="F47" s="10"/>
    </row>
    <row r="48" spans="1:6" ht="14.5">
      <c r="A48" s="25"/>
      <c r="B48" s="7"/>
      <c r="C48" s="10"/>
      <c r="D48" s="53"/>
      <c r="E48" s="10"/>
      <c r="F48" s="10"/>
    </row>
    <row r="49" spans="1:6" ht="14.5">
      <c r="A49" s="25"/>
      <c r="B49" s="7"/>
      <c r="C49" s="10"/>
      <c r="D49" s="53"/>
      <c r="E49" s="10"/>
      <c r="F49" s="10"/>
    </row>
    <row r="50" spans="1:6" ht="14.5">
      <c r="A50" s="25"/>
      <c r="B50" s="7"/>
      <c r="C50" s="10"/>
      <c r="D50" s="53"/>
      <c r="E50" s="10"/>
      <c r="F50" s="10"/>
    </row>
    <row r="51" spans="1:6" ht="14.5">
      <c r="A51" s="25"/>
      <c r="B51" s="7"/>
      <c r="C51" s="10"/>
      <c r="D51" s="53"/>
      <c r="E51" s="10"/>
      <c r="F51" s="10"/>
    </row>
    <row r="52" spans="1:6" ht="14.5">
      <c r="A52" s="25"/>
      <c r="B52" s="7"/>
      <c r="C52" s="10"/>
      <c r="D52" s="53"/>
      <c r="E52" s="10"/>
      <c r="F52" s="10"/>
    </row>
    <row r="53" spans="1:6" ht="14.5">
      <c r="A53" s="25"/>
      <c r="B53" s="7"/>
      <c r="C53" s="10"/>
      <c r="D53" s="53"/>
      <c r="E53" s="10"/>
      <c r="F53" s="10"/>
    </row>
    <row r="54" spans="1:6" ht="14.5">
      <c r="A54" s="25"/>
      <c r="B54" s="7"/>
      <c r="C54" s="10"/>
      <c r="D54" s="53"/>
      <c r="E54" s="10"/>
      <c r="F54" s="10"/>
    </row>
    <row r="55" spans="1:6" ht="14.5">
      <c r="A55" s="25"/>
      <c r="B55" s="7"/>
      <c r="C55" s="10"/>
      <c r="D55" s="53"/>
      <c r="E55" s="10"/>
      <c r="F55" s="10"/>
    </row>
    <row r="56" spans="1:6" ht="14.5">
      <c r="A56" s="6"/>
      <c r="B56" s="7"/>
      <c r="C56" s="12"/>
      <c r="D56" s="53"/>
      <c r="E56" s="10"/>
      <c r="F56" s="10"/>
    </row>
    <row r="57" spans="1:6" ht="14.5">
      <c r="A57" s="6"/>
      <c r="B57" s="7"/>
      <c r="C57" s="10"/>
      <c r="D57" s="53"/>
      <c r="E57" s="10"/>
      <c r="F57" s="10"/>
    </row>
    <row r="58" spans="1:6" ht="14.5">
      <c r="A58" s="6"/>
      <c r="B58" s="7"/>
      <c r="C58" s="10"/>
      <c r="D58" s="53"/>
      <c r="E58" s="10"/>
      <c r="F58" s="10"/>
    </row>
    <row r="59" spans="1:6" ht="14.5">
      <c r="A59" s="6"/>
      <c r="B59" s="7"/>
      <c r="C59" s="12"/>
      <c r="D59" s="53"/>
      <c r="E59" s="10"/>
      <c r="F59" s="10"/>
    </row>
    <row r="60" spans="1:6" ht="14.5">
      <c r="A60" s="6"/>
      <c r="B60" s="7"/>
      <c r="D60" s="53"/>
      <c r="E60" s="10"/>
      <c r="F60" s="10"/>
    </row>
    <row r="61" spans="1:6" ht="14.5">
      <c r="A61" s="6"/>
      <c r="B61" s="7"/>
      <c r="D61" s="53"/>
      <c r="E61" s="10"/>
      <c r="F61" s="10"/>
    </row>
    <row r="62" spans="1:6" ht="14.5">
      <c r="A62" s="6"/>
      <c r="B62" s="7"/>
      <c r="C62" s="10"/>
      <c r="D62" s="53"/>
      <c r="E62" s="10"/>
      <c r="F62" s="10"/>
    </row>
    <row r="63" spans="1:6" ht="14.5">
      <c r="A63" s="6"/>
      <c r="B63" s="7"/>
      <c r="D63" s="53"/>
      <c r="E63" s="10"/>
      <c r="F63" s="10"/>
    </row>
    <row r="64" spans="1:6" ht="14.5">
      <c r="A64" s="6"/>
      <c r="B64" s="7"/>
      <c r="C64" s="12"/>
      <c r="D64" s="53"/>
      <c r="E64" s="10"/>
      <c r="F64" s="10"/>
    </row>
    <row r="65" spans="1:7" ht="14.5">
      <c r="A65" s="6"/>
      <c r="B65" s="7"/>
      <c r="D65" s="53"/>
      <c r="E65" s="10"/>
      <c r="F65" s="10"/>
    </row>
    <row r="66" spans="1:7" ht="14.5">
      <c r="A66" s="6"/>
      <c r="B66" s="7"/>
      <c r="D66" s="53"/>
      <c r="E66" s="10"/>
      <c r="F66" s="10"/>
    </row>
    <row r="67" spans="1:7" ht="14.5">
      <c r="A67" s="6"/>
      <c r="B67" s="7"/>
      <c r="C67" s="12"/>
      <c r="D67" s="53"/>
      <c r="E67" s="10"/>
      <c r="F67" s="10"/>
    </row>
    <row r="68" spans="1:7" ht="14.5">
      <c r="A68" s="6"/>
      <c r="B68" s="7"/>
      <c r="D68" s="53"/>
      <c r="E68" s="10"/>
      <c r="F68" s="10"/>
    </row>
    <row r="69" spans="1:7" ht="15.5">
      <c r="A69" s="6"/>
      <c r="B69" s="7"/>
      <c r="C69" s="12"/>
      <c r="D69" s="53"/>
      <c r="E69" s="10"/>
      <c r="F69" s="10"/>
      <c r="G69" s="59"/>
    </row>
    <row r="70" spans="1:7" ht="14.5">
      <c r="A70" s="6"/>
      <c r="B70" s="7"/>
      <c r="C70" s="12"/>
      <c r="D70" s="53"/>
      <c r="E70" s="10"/>
      <c r="F70" s="10"/>
    </row>
    <row r="71" spans="1:7" ht="12.5"/>
    <row r="72" spans="1:7" ht="12.5"/>
    <row r="73" spans="1:7" ht="12.5"/>
    <row r="74" spans="1:7" ht="12.5"/>
    <row r="75" spans="1:7" ht="12.5"/>
    <row r="76" spans="1:7" ht="12.5"/>
    <row r="77" spans="1:7" ht="12.5"/>
    <row r="78" spans="1:7" ht="12.5"/>
    <row r="79" spans="1:7" ht="12.5"/>
    <row r="80" spans="1:7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  <row r="102" ht="12.5"/>
    <row r="103" ht="12.5"/>
    <row r="104" ht="12.5"/>
    <row r="105" ht="12.5"/>
    <row r="106" ht="12.5"/>
    <row r="107" ht="12.5"/>
    <row r="108" ht="12.5"/>
    <row r="109" ht="12.5"/>
    <row r="110" ht="12.5"/>
    <row r="111" ht="12.5"/>
    <row r="112" ht="12.5"/>
    <row r="113" ht="12.5"/>
    <row r="114" ht="12.5"/>
    <row r="115" ht="12.5"/>
    <row r="116" ht="12.5"/>
    <row r="117" ht="12.5"/>
    <row r="118" ht="12.5"/>
    <row r="119" ht="12.5"/>
    <row r="120" ht="12.5"/>
    <row r="121" ht="12.5"/>
    <row r="122" ht="12.5"/>
    <row r="123" ht="12.5"/>
    <row r="124" ht="12.5"/>
    <row r="125" ht="12.5"/>
    <row r="126" ht="12.5"/>
    <row r="127" ht="12.5"/>
    <row r="128" ht="12.5"/>
    <row r="129" ht="12.5"/>
    <row r="130" ht="12.5"/>
    <row r="131" ht="12.5"/>
    <row r="132" ht="12.5"/>
    <row r="133" ht="12.5"/>
    <row r="134" ht="12.5"/>
    <row r="135" ht="12.5"/>
    <row r="136" ht="12.5"/>
    <row r="137" ht="12.5"/>
    <row r="138" ht="12.5"/>
    <row r="139" ht="12.5"/>
    <row r="140" ht="12.5"/>
    <row r="141" ht="12.5"/>
    <row r="142" ht="12.5"/>
    <row r="143" ht="12.5"/>
    <row r="144" ht="12.5"/>
    <row r="145" ht="12.5"/>
    <row r="146" ht="12.5"/>
    <row r="147" ht="12.5"/>
    <row r="148" ht="12.5"/>
    <row r="149" ht="12.5"/>
    <row r="150" ht="12.5"/>
    <row r="151" ht="12.5"/>
    <row r="152" ht="12.5"/>
    <row r="153" ht="12.5"/>
    <row r="154" ht="12.5"/>
    <row r="155" ht="12.5"/>
    <row r="156" ht="12.5"/>
    <row r="157" ht="12.5"/>
    <row r="158" ht="12.5"/>
    <row r="159" ht="12.5"/>
    <row r="160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1" ht="12.5"/>
    <row r="172" ht="12.5"/>
    <row r="173" ht="12.5"/>
    <row r="174" ht="12.5"/>
    <row r="175" ht="12.5"/>
    <row r="176" ht="12.5"/>
    <row r="177" ht="12.5"/>
    <row r="178" ht="12.5"/>
    <row r="179" ht="12.5"/>
    <row r="180" ht="12.5"/>
    <row r="181" ht="12.5"/>
    <row r="182" ht="12.5"/>
    <row r="183" ht="12.5"/>
    <row r="184" ht="12.5"/>
    <row r="185" ht="12.5"/>
    <row r="186" ht="12.5"/>
    <row r="187" ht="12.5"/>
    <row r="188" ht="12.5"/>
    <row r="189" ht="12.5"/>
    <row r="190" ht="12.5"/>
    <row r="191" ht="12.5"/>
    <row r="192" ht="12.5"/>
    <row r="193" ht="12.5"/>
    <row r="194" ht="12.5"/>
    <row r="195" ht="12.5"/>
    <row r="196" ht="12.5"/>
    <row r="197" ht="12.5"/>
    <row r="198" ht="12.5"/>
    <row r="199" ht="12.5"/>
    <row r="200" ht="12.5"/>
    <row r="201" ht="12.5"/>
    <row r="202" ht="12.5"/>
    <row r="203" ht="12.5"/>
    <row r="204" ht="12.5"/>
    <row r="205" ht="12.5"/>
    <row r="206" ht="12.5"/>
    <row r="207" ht="12.5"/>
    <row r="208" ht="12.5"/>
    <row r="209" ht="12.5"/>
    <row r="210" ht="12.5"/>
    <row r="211" ht="12.5"/>
    <row r="212" ht="12.5"/>
    <row r="213" ht="12.5"/>
    <row r="214" ht="12.5"/>
    <row r="215" ht="12.5"/>
    <row r="216" ht="12.5"/>
    <row r="217" ht="12.5"/>
    <row r="218" ht="12.5"/>
    <row r="219" ht="12.5"/>
    <row r="220" ht="12.5"/>
    <row r="221" ht="12.5"/>
    <row r="222" ht="12.5"/>
    <row r="223" ht="12.5"/>
    <row r="224" ht="12.5"/>
    <row r="225" ht="12.5"/>
    <row r="226" ht="12.5"/>
    <row r="227" ht="12.5"/>
    <row r="228" ht="12.5"/>
    <row r="229" ht="12.5"/>
    <row r="230" ht="12.5"/>
    <row r="231" ht="12.5"/>
    <row r="232" ht="12.5"/>
    <row r="233" ht="12.5"/>
    <row r="234" ht="12.5"/>
    <row r="235" ht="12.5"/>
    <row r="236" ht="12.5"/>
    <row r="237" ht="12.5"/>
    <row r="238" ht="12.5"/>
    <row r="239" ht="12.5"/>
    <row r="240" ht="12.5"/>
    <row r="241" ht="12.5"/>
    <row r="242" ht="12.5"/>
    <row r="243" ht="12.5"/>
    <row r="244" ht="12.5"/>
    <row r="245" ht="12.5"/>
    <row r="246" ht="12.5"/>
    <row r="247" ht="12.5"/>
    <row r="248" ht="12.5"/>
    <row r="249" ht="12.5"/>
    <row r="250" ht="12.5"/>
    <row r="251" ht="12.5"/>
    <row r="252" ht="12.5"/>
    <row r="253" ht="12.5"/>
    <row r="254" ht="12.5"/>
    <row r="255" ht="12.5"/>
    <row r="256" ht="12.5"/>
    <row r="257" ht="12.5"/>
    <row r="258" ht="12.5"/>
    <row r="259" ht="12.5"/>
    <row r="260" ht="12.5"/>
    <row r="261" ht="12.5"/>
    <row r="262" ht="12.5"/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  <row r="1001" ht="12.5"/>
    <row r="1002" ht="12.5"/>
    <row r="1003" ht="12.5"/>
    <row r="1004" ht="12.5"/>
    <row r="1005" ht="12.5"/>
    <row r="1006" ht="12.5"/>
    <row r="1007" ht="12.5"/>
    <row r="1008" ht="12.5"/>
  </sheetData>
  <dataValidations count="2">
    <dataValidation type="list" allowBlank="1" showErrorMessage="1" sqref="E2:E70" xr:uid="{00000000-0002-0000-0300-000000000000}">
      <formula1>"Electricity,Telephone,Water Supply"</formula1>
    </dataValidation>
    <dataValidation type="list" allowBlank="1" showErrorMessage="1" sqref="F2:F70" xr:uid="{00000000-0002-0000-0300-000001000000}">
      <formula1>"Tangerang,Yogyakarta"</formula1>
    </dataValidation>
  </dataValidation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997"/>
  <sheetViews>
    <sheetView showGridLines="0" workbookViewId="0">
      <selection activeCell="D5" sqref="D5"/>
    </sheetView>
  </sheetViews>
  <sheetFormatPr defaultColWidth="12.54296875" defaultRowHeight="15.75" customHeight="1"/>
  <cols>
    <col min="2" max="2" width="23.26953125" customWidth="1"/>
    <col min="3" max="3" width="15.54296875" customWidth="1"/>
    <col min="4" max="4" width="24.1796875" customWidth="1"/>
    <col min="5" max="5" width="33.7265625" customWidth="1"/>
    <col min="6" max="6" width="7.453125" customWidth="1"/>
    <col min="7" max="7" width="14.26953125" style="50" bestFit="1" customWidth="1"/>
    <col min="8" max="8" width="20.1796875" customWidth="1"/>
  </cols>
  <sheetData>
    <row r="1" spans="1:7" ht="15.75" customHeight="1">
      <c r="A1" s="75" t="s">
        <v>0</v>
      </c>
      <c r="B1" s="75" t="s">
        <v>265</v>
      </c>
      <c r="C1" s="75" t="s">
        <v>266</v>
      </c>
      <c r="D1" s="75" t="s">
        <v>267</v>
      </c>
      <c r="E1" s="75" t="s">
        <v>268</v>
      </c>
      <c r="F1" s="75" t="s">
        <v>269</v>
      </c>
      <c r="G1" s="115" t="s">
        <v>270</v>
      </c>
    </row>
    <row r="2" spans="1:7" ht="15.75" customHeight="1">
      <c r="A2" s="116">
        <v>45658</v>
      </c>
      <c r="B2" s="117" t="s">
        <v>271</v>
      </c>
      <c r="C2" s="118" t="s">
        <v>272</v>
      </c>
      <c r="D2" s="118" t="s">
        <v>273</v>
      </c>
      <c r="E2" s="118" t="s">
        <v>274</v>
      </c>
      <c r="F2" s="117">
        <v>21.8</v>
      </c>
      <c r="G2" s="119">
        <v>140000</v>
      </c>
    </row>
    <row r="3" spans="1:7" ht="15.75" customHeight="1">
      <c r="A3" s="116">
        <v>45658</v>
      </c>
      <c r="B3" s="117" t="s">
        <v>271</v>
      </c>
      <c r="C3" s="118" t="s">
        <v>272</v>
      </c>
      <c r="D3" s="118" t="s">
        <v>273</v>
      </c>
      <c r="E3" s="118" t="s">
        <v>275</v>
      </c>
      <c r="F3" s="117">
        <v>21.5</v>
      </c>
      <c r="G3" s="119">
        <v>127500</v>
      </c>
    </row>
    <row r="4" spans="1:7" ht="15.75" customHeight="1">
      <c r="A4" s="116">
        <v>45658</v>
      </c>
      <c r="B4" s="117" t="s">
        <v>276</v>
      </c>
      <c r="C4" s="118" t="s">
        <v>277</v>
      </c>
      <c r="D4" s="118" t="s">
        <v>273</v>
      </c>
      <c r="E4" s="118" t="s">
        <v>278</v>
      </c>
      <c r="F4" s="117">
        <v>21.1</v>
      </c>
      <c r="G4" s="119">
        <v>142500</v>
      </c>
    </row>
    <row r="5" spans="1:7" ht="15.75" customHeight="1">
      <c r="A5" s="116">
        <v>45658</v>
      </c>
      <c r="B5" s="117" t="s">
        <v>276</v>
      </c>
      <c r="C5" s="118" t="s">
        <v>277</v>
      </c>
      <c r="D5" s="118" t="s">
        <v>273</v>
      </c>
      <c r="E5" s="118" t="s">
        <v>279</v>
      </c>
      <c r="F5" s="117">
        <v>11.2</v>
      </c>
      <c r="G5" s="119">
        <v>83500</v>
      </c>
    </row>
    <row r="6" spans="1:7" ht="15.75" customHeight="1">
      <c r="A6" s="116">
        <v>45658</v>
      </c>
      <c r="B6" s="117" t="s">
        <v>280</v>
      </c>
      <c r="C6" s="118" t="s">
        <v>277</v>
      </c>
      <c r="D6" s="118" t="s">
        <v>273</v>
      </c>
      <c r="E6" s="118" t="s">
        <v>281</v>
      </c>
      <c r="F6" s="117">
        <v>16</v>
      </c>
      <c r="G6" s="119">
        <v>100000</v>
      </c>
    </row>
    <row r="7" spans="1:7" ht="15.75" customHeight="1">
      <c r="A7" s="116">
        <v>45658</v>
      </c>
      <c r="B7" s="117" t="s">
        <v>282</v>
      </c>
      <c r="C7" s="118" t="s">
        <v>272</v>
      </c>
      <c r="D7" s="118" t="s">
        <v>273</v>
      </c>
      <c r="E7" s="118" t="s">
        <v>283</v>
      </c>
      <c r="F7" s="117">
        <v>16.399999999999999</v>
      </c>
      <c r="G7" s="119">
        <v>102000</v>
      </c>
    </row>
    <row r="8" spans="1:7" ht="15.75" customHeight="1">
      <c r="A8" s="116">
        <v>45658</v>
      </c>
      <c r="B8" s="117" t="s">
        <v>276</v>
      </c>
      <c r="C8" s="118" t="s">
        <v>277</v>
      </c>
      <c r="D8" s="118" t="s">
        <v>273</v>
      </c>
      <c r="E8" s="118" t="s">
        <v>284</v>
      </c>
      <c r="F8" s="117">
        <v>20.3</v>
      </c>
      <c r="G8" s="119">
        <v>132500</v>
      </c>
    </row>
    <row r="9" spans="1:7" ht="15.75" customHeight="1">
      <c r="A9" s="116">
        <v>45658</v>
      </c>
      <c r="B9" s="117" t="s">
        <v>285</v>
      </c>
      <c r="C9" s="118" t="s">
        <v>286</v>
      </c>
      <c r="D9" s="118" t="s">
        <v>287</v>
      </c>
      <c r="E9" s="118" t="s">
        <v>288</v>
      </c>
      <c r="F9" s="117">
        <v>2.5</v>
      </c>
      <c r="G9" s="119">
        <v>22000</v>
      </c>
    </row>
    <row r="10" spans="1:7" ht="15.75" customHeight="1">
      <c r="A10" s="116">
        <v>45658</v>
      </c>
      <c r="B10" s="117" t="s">
        <v>285</v>
      </c>
      <c r="C10" s="118" t="s">
        <v>286</v>
      </c>
      <c r="D10" s="118" t="s">
        <v>287</v>
      </c>
      <c r="E10" s="118" t="s">
        <v>289</v>
      </c>
      <c r="F10" s="117">
        <v>1.8</v>
      </c>
      <c r="G10" s="119">
        <v>22000</v>
      </c>
    </row>
    <row r="11" spans="1:7" ht="15.75" customHeight="1">
      <c r="A11" s="116">
        <v>45658</v>
      </c>
      <c r="B11" s="117" t="s">
        <v>282</v>
      </c>
      <c r="C11" s="118" t="s">
        <v>272</v>
      </c>
      <c r="D11" s="118" t="s">
        <v>287</v>
      </c>
      <c r="E11" s="118" t="s">
        <v>283</v>
      </c>
      <c r="F11" s="117">
        <v>17.2</v>
      </c>
      <c r="G11" s="119">
        <v>122500</v>
      </c>
    </row>
    <row r="12" spans="1:7" ht="15.75" customHeight="1">
      <c r="A12" s="116">
        <v>45658</v>
      </c>
      <c r="B12" s="117" t="s">
        <v>280</v>
      </c>
      <c r="C12" s="118" t="s">
        <v>277</v>
      </c>
      <c r="D12" s="118" t="s">
        <v>273</v>
      </c>
      <c r="E12" s="118" t="s">
        <v>290</v>
      </c>
      <c r="F12" s="117">
        <v>4</v>
      </c>
      <c r="G12" s="119">
        <v>38500</v>
      </c>
    </row>
    <row r="13" spans="1:7" ht="15.75" customHeight="1">
      <c r="A13" s="116">
        <v>45658</v>
      </c>
      <c r="B13" s="117" t="s">
        <v>280</v>
      </c>
      <c r="C13" s="118" t="s">
        <v>277</v>
      </c>
      <c r="D13" s="118" t="s">
        <v>273</v>
      </c>
      <c r="E13" s="118" t="s">
        <v>291</v>
      </c>
      <c r="F13" s="117">
        <v>17.2</v>
      </c>
      <c r="G13" s="119">
        <v>113500</v>
      </c>
    </row>
    <row r="14" spans="1:7" ht="15.75" customHeight="1">
      <c r="A14" s="116">
        <v>45658</v>
      </c>
      <c r="B14" s="117" t="s">
        <v>292</v>
      </c>
      <c r="C14" s="118" t="s">
        <v>293</v>
      </c>
      <c r="D14" s="118" t="s">
        <v>287</v>
      </c>
      <c r="E14" s="118" t="s">
        <v>294</v>
      </c>
      <c r="F14" s="117">
        <v>14.1</v>
      </c>
      <c r="G14" s="119">
        <v>66500</v>
      </c>
    </row>
    <row r="15" spans="1:7" ht="15.75" customHeight="1">
      <c r="A15" s="116">
        <v>45658</v>
      </c>
      <c r="B15" s="117" t="s">
        <v>280</v>
      </c>
      <c r="C15" s="118" t="s">
        <v>277</v>
      </c>
      <c r="D15" s="118" t="s">
        <v>273</v>
      </c>
      <c r="E15" s="118" t="s">
        <v>295</v>
      </c>
      <c r="F15" s="117">
        <v>18.8</v>
      </c>
      <c r="G15" s="119">
        <v>125500</v>
      </c>
    </row>
    <row r="16" spans="1:7" ht="15.75" customHeight="1">
      <c r="A16" s="116">
        <v>45658</v>
      </c>
      <c r="B16" s="117" t="s">
        <v>296</v>
      </c>
      <c r="C16" s="118" t="s">
        <v>277</v>
      </c>
      <c r="D16" s="118" t="s">
        <v>287</v>
      </c>
      <c r="E16" s="118" t="s">
        <v>297</v>
      </c>
      <c r="F16" s="117">
        <v>13.4</v>
      </c>
      <c r="G16" s="119">
        <v>85500</v>
      </c>
    </row>
    <row r="17" spans="1:7" ht="15.75" customHeight="1">
      <c r="A17" s="116">
        <v>45658</v>
      </c>
      <c r="B17" s="117" t="s">
        <v>280</v>
      </c>
      <c r="C17" s="118" t="s">
        <v>277</v>
      </c>
      <c r="D17" s="118" t="s">
        <v>273</v>
      </c>
      <c r="E17" s="118" t="s">
        <v>295</v>
      </c>
      <c r="F17" s="117">
        <v>16.7</v>
      </c>
      <c r="G17" s="119">
        <v>114000</v>
      </c>
    </row>
    <row r="18" spans="1:7" ht="15.75" customHeight="1">
      <c r="A18" s="116">
        <v>45658</v>
      </c>
      <c r="B18" s="117" t="s">
        <v>298</v>
      </c>
      <c r="C18" s="118" t="s">
        <v>277</v>
      </c>
      <c r="D18" s="118" t="s">
        <v>287</v>
      </c>
      <c r="E18" s="118" t="s">
        <v>299</v>
      </c>
      <c r="F18" s="117">
        <v>14.3</v>
      </c>
      <c r="G18" s="119">
        <v>87500</v>
      </c>
    </row>
    <row r="19" spans="1:7" ht="15.75" customHeight="1">
      <c r="A19" s="116">
        <v>45658</v>
      </c>
      <c r="B19" s="117" t="s">
        <v>285</v>
      </c>
      <c r="C19" s="118" t="s">
        <v>286</v>
      </c>
      <c r="D19" s="118" t="s">
        <v>287</v>
      </c>
      <c r="E19" s="118" t="s">
        <v>300</v>
      </c>
      <c r="F19" s="117">
        <v>19.399999999999999</v>
      </c>
      <c r="G19" s="119">
        <v>113500</v>
      </c>
    </row>
    <row r="20" spans="1:7" ht="15.75" customHeight="1">
      <c r="A20" s="116">
        <v>45658</v>
      </c>
      <c r="B20" s="117" t="s">
        <v>298</v>
      </c>
      <c r="C20" s="118" t="s">
        <v>277</v>
      </c>
      <c r="D20" s="118" t="s">
        <v>301</v>
      </c>
      <c r="E20" s="118" t="s">
        <v>302</v>
      </c>
      <c r="F20" s="117">
        <v>18.399999999999999</v>
      </c>
      <c r="G20" s="119">
        <v>115000</v>
      </c>
    </row>
    <row r="21" spans="1:7" ht="15.75" customHeight="1">
      <c r="A21" s="116">
        <v>45658</v>
      </c>
      <c r="B21" s="117" t="s">
        <v>276</v>
      </c>
      <c r="C21" s="118" t="s">
        <v>277</v>
      </c>
      <c r="D21" s="118" t="s">
        <v>273</v>
      </c>
      <c r="E21" s="118" t="s">
        <v>303</v>
      </c>
      <c r="F21" s="117">
        <v>4.0999999999999996</v>
      </c>
      <c r="G21" s="119">
        <v>37000</v>
      </c>
    </row>
    <row r="22" spans="1:7" ht="15.75" customHeight="1">
      <c r="A22" s="116">
        <v>45658</v>
      </c>
      <c r="B22" s="117" t="s">
        <v>285</v>
      </c>
      <c r="C22" s="118" t="s">
        <v>286</v>
      </c>
      <c r="D22" s="118" t="s">
        <v>287</v>
      </c>
      <c r="E22" s="118" t="s">
        <v>304</v>
      </c>
      <c r="F22" s="117">
        <v>16.7</v>
      </c>
      <c r="G22" s="119">
        <v>91500</v>
      </c>
    </row>
    <row r="23" spans="1:7" ht="15.75" customHeight="1">
      <c r="A23" s="116">
        <v>45658</v>
      </c>
      <c r="B23" s="117" t="s">
        <v>271</v>
      </c>
      <c r="C23" s="118" t="s">
        <v>272</v>
      </c>
      <c r="D23" s="118" t="s">
        <v>273</v>
      </c>
      <c r="E23" s="118" t="s">
        <v>305</v>
      </c>
      <c r="F23" s="117">
        <v>19</v>
      </c>
      <c r="G23" s="119">
        <v>125500</v>
      </c>
    </row>
    <row r="24" spans="1:7" ht="15.75" customHeight="1">
      <c r="A24" s="116">
        <v>45658</v>
      </c>
      <c r="B24" s="117" t="s">
        <v>280</v>
      </c>
      <c r="C24" s="118" t="s">
        <v>277</v>
      </c>
      <c r="D24" s="118" t="s">
        <v>273</v>
      </c>
      <c r="E24" s="118" t="s">
        <v>306</v>
      </c>
      <c r="F24" s="117">
        <v>23.5</v>
      </c>
      <c r="G24" s="119">
        <v>154500</v>
      </c>
    </row>
    <row r="25" spans="1:7" ht="15.75" customHeight="1">
      <c r="A25" s="116">
        <v>45658</v>
      </c>
      <c r="B25" s="117" t="s">
        <v>280</v>
      </c>
      <c r="C25" s="118" t="s">
        <v>277</v>
      </c>
      <c r="D25" s="118" t="s">
        <v>287</v>
      </c>
      <c r="E25" s="118" t="s">
        <v>307</v>
      </c>
      <c r="F25" s="117">
        <v>1</v>
      </c>
      <c r="G25" s="119">
        <v>22500</v>
      </c>
    </row>
    <row r="26" spans="1:7" ht="15.75" customHeight="1">
      <c r="A26" s="116">
        <v>45658</v>
      </c>
      <c r="B26" s="117" t="s">
        <v>308</v>
      </c>
      <c r="C26" s="118" t="s">
        <v>309</v>
      </c>
      <c r="D26" s="118" t="s">
        <v>287</v>
      </c>
      <c r="E26" s="118" t="s">
        <v>310</v>
      </c>
      <c r="F26" s="117">
        <v>15.2</v>
      </c>
      <c r="G26" s="119">
        <v>74000</v>
      </c>
    </row>
    <row r="27" spans="1:7" ht="15.75" customHeight="1">
      <c r="A27" s="116">
        <v>45658</v>
      </c>
      <c r="B27" s="117" t="s">
        <v>308</v>
      </c>
      <c r="C27" s="118" t="s">
        <v>309</v>
      </c>
      <c r="D27" s="118" t="s">
        <v>287</v>
      </c>
      <c r="E27" s="118" t="s">
        <v>311</v>
      </c>
      <c r="F27" s="117">
        <v>14.1</v>
      </c>
      <c r="G27" s="119">
        <v>70000</v>
      </c>
    </row>
    <row r="28" spans="1:7" ht="15.75" customHeight="1">
      <c r="A28" s="116">
        <v>45658</v>
      </c>
      <c r="B28" s="117" t="s">
        <v>280</v>
      </c>
      <c r="C28" s="118" t="s">
        <v>277</v>
      </c>
      <c r="D28" s="118" t="s">
        <v>273</v>
      </c>
      <c r="E28" s="118" t="s">
        <v>295</v>
      </c>
      <c r="F28" s="117">
        <v>8</v>
      </c>
      <c r="G28" s="119">
        <v>51000</v>
      </c>
    </row>
    <row r="29" spans="1:7" ht="15.75" customHeight="1">
      <c r="A29" s="116">
        <v>45658</v>
      </c>
      <c r="B29" s="117" t="s">
        <v>312</v>
      </c>
      <c r="C29" s="118" t="s">
        <v>277</v>
      </c>
      <c r="D29" s="118" t="s">
        <v>273</v>
      </c>
      <c r="E29" s="118" t="s">
        <v>313</v>
      </c>
      <c r="F29" s="117">
        <v>21.9</v>
      </c>
      <c r="G29" s="119">
        <v>129000</v>
      </c>
    </row>
    <row r="30" spans="1:7" ht="15.75" customHeight="1">
      <c r="A30" s="116">
        <v>45658</v>
      </c>
      <c r="B30" s="117" t="s">
        <v>285</v>
      </c>
      <c r="C30" s="118" t="s">
        <v>286</v>
      </c>
      <c r="D30" s="118" t="s">
        <v>287</v>
      </c>
      <c r="E30" s="118" t="s">
        <v>288</v>
      </c>
      <c r="F30" s="117">
        <v>9.9</v>
      </c>
      <c r="G30" s="119">
        <v>51000</v>
      </c>
    </row>
    <row r="31" spans="1:7" ht="15.75" customHeight="1">
      <c r="A31" s="116">
        <v>45658</v>
      </c>
      <c r="B31" s="117" t="s">
        <v>276</v>
      </c>
      <c r="C31" s="118" t="s">
        <v>277</v>
      </c>
      <c r="D31" s="118" t="s">
        <v>273</v>
      </c>
      <c r="E31" s="118" t="s">
        <v>314</v>
      </c>
      <c r="F31" s="117">
        <v>19.5</v>
      </c>
      <c r="G31" s="119">
        <v>129000</v>
      </c>
    </row>
    <row r="32" spans="1:7" ht="15.75" customHeight="1">
      <c r="A32" s="116">
        <v>45658</v>
      </c>
      <c r="B32" s="117" t="s">
        <v>276</v>
      </c>
      <c r="C32" s="118" t="s">
        <v>277</v>
      </c>
      <c r="D32" s="118" t="s">
        <v>273</v>
      </c>
      <c r="E32" s="118" t="s">
        <v>315</v>
      </c>
      <c r="F32" s="117">
        <v>1.8</v>
      </c>
      <c r="G32" s="119">
        <v>34000</v>
      </c>
    </row>
    <row r="33" spans="1:7" ht="15.75" customHeight="1">
      <c r="A33" s="116">
        <v>45658</v>
      </c>
      <c r="B33" s="117" t="s">
        <v>280</v>
      </c>
      <c r="C33" s="118" t="s">
        <v>277</v>
      </c>
      <c r="D33" s="118" t="s">
        <v>287</v>
      </c>
      <c r="E33" s="118" t="s">
        <v>316</v>
      </c>
      <c r="F33" s="117">
        <v>20</v>
      </c>
      <c r="G33" s="119">
        <v>85500</v>
      </c>
    </row>
    <row r="34" spans="1:7" ht="15.75" customHeight="1">
      <c r="A34" s="116">
        <v>45658</v>
      </c>
      <c r="B34" s="117" t="s">
        <v>276</v>
      </c>
      <c r="C34" s="118" t="s">
        <v>277</v>
      </c>
      <c r="D34" s="118" t="s">
        <v>273</v>
      </c>
      <c r="E34" s="118" t="s">
        <v>317</v>
      </c>
      <c r="F34" s="117">
        <v>21.2</v>
      </c>
      <c r="G34" s="119">
        <v>134000</v>
      </c>
    </row>
    <row r="35" spans="1:7" ht="15.75" customHeight="1">
      <c r="A35" s="116">
        <v>45658</v>
      </c>
      <c r="B35" s="117" t="s">
        <v>285</v>
      </c>
      <c r="C35" s="118" t="s">
        <v>286</v>
      </c>
      <c r="D35" s="118" t="s">
        <v>287</v>
      </c>
      <c r="E35" s="118" t="s">
        <v>318</v>
      </c>
      <c r="F35" s="117">
        <v>6.1</v>
      </c>
      <c r="G35" s="119">
        <v>38000</v>
      </c>
    </row>
    <row r="36" spans="1:7" ht="15.75" customHeight="1">
      <c r="A36" s="116">
        <v>45658</v>
      </c>
      <c r="B36" s="117" t="s">
        <v>280</v>
      </c>
      <c r="C36" s="118" t="s">
        <v>277</v>
      </c>
      <c r="D36" s="118" t="s">
        <v>273</v>
      </c>
      <c r="E36" s="118" t="s">
        <v>319</v>
      </c>
      <c r="F36" s="117">
        <v>21</v>
      </c>
      <c r="G36" s="119">
        <v>136500</v>
      </c>
    </row>
    <row r="37" spans="1:7" ht="15.75" customHeight="1">
      <c r="A37" s="116">
        <v>45658</v>
      </c>
      <c r="B37" s="117" t="s">
        <v>280</v>
      </c>
      <c r="C37" s="118" t="s">
        <v>277</v>
      </c>
      <c r="D37" s="118" t="s">
        <v>273</v>
      </c>
      <c r="E37" s="118" t="s">
        <v>320</v>
      </c>
      <c r="F37" s="117">
        <v>19.8</v>
      </c>
      <c r="G37" s="119">
        <v>147000</v>
      </c>
    </row>
    <row r="38" spans="1:7" ht="15.75" customHeight="1">
      <c r="A38" s="116">
        <v>45658</v>
      </c>
      <c r="B38" s="117" t="s">
        <v>321</v>
      </c>
      <c r="C38" s="118" t="s">
        <v>272</v>
      </c>
      <c r="D38" s="118" t="s">
        <v>301</v>
      </c>
      <c r="E38" s="118" t="s">
        <v>322</v>
      </c>
      <c r="F38" s="117">
        <v>19.100000000000001</v>
      </c>
      <c r="G38" s="119">
        <v>131500</v>
      </c>
    </row>
    <row r="39" spans="1:7" ht="15.75" customHeight="1">
      <c r="A39" s="116">
        <v>45658</v>
      </c>
      <c r="B39" s="117" t="s">
        <v>323</v>
      </c>
      <c r="C39" s="118" t="s">
        <v>324</v>
      </c>
      <c r="D39" s="118" t="s">
        <v>287</v>
      </c>
      <c r="E39" s="118" t="s">
        <v>325</v>
      </c>
      <c r="F39" s="117">
        <v>19.2</v>
      </c>
      <c r="G39" s="119">
        <v>107000</v>
      </c>
    </row>
    <row r="40" spans="1:7" ht="15.75" customHeight="1">
      <c r="A40" s="116">
        <v>45658</v>
      </c>
      <c r="B40" s="117" t="s">
        <v>326</v>
      </c>
      <c r="C40" s="118" t="s">
        <v>293</v>
      </c>
      <c r="D40" s="118" t="s">
        <v>287</v>
      </c>
      <c r="E40" s="118" t="s">
        <v>327</v>
      </c>
      <c r="F40" s="117">
        <v>5.3</v>
      </c>
      <c r="G40" s="119">
        <v>31000</v>
      </c>
    </row>
    <row r="41" spans="1:7" ht="15.75" customHeight="1">
      <c r="A41" s="116">
        <v>45658</v>
      </c>
      <c r="B41" s="117" t="s">
        <v>308</v>
      </c>
      <c r="C41" s="118" t="s">
        <v>309</v>
      </c>
      <c r="D41" s="118" t="s">
        <v>287</v>
      </c>
      <c r="E41" s="118" t="s">
        <v>328</v>
      </c>
      <c r="F41" s="117">
        <v>15.2</v>
      </c>
      <c r="G41" s="119">
        <v>74000</v>
      </c>
    </row>
    <row r="42" spans="1:7" ht="15.75" customHeight="1">
      <c r="A42" s="116">
        <v>45658</v>
      </c>
      <c r="B42" s="117" t="s">
        <v>308</v>
      </c>
      <c r="C42" s="118" t="s">
        <v>309</v>
      </c>
      <c r="D42" s="118" t="s">
        <v>287</v>
      </c>
      <c r="E42" s="118" t="s">
        <v>329</v>
      </c>
      <c r="F42" s="117">
        <v>14.1</v>
      </c>
      <c r="G42" s="119">
        <v>70000</v>
      </c>
    </row>
    <row r="43" spans="1:7" ht="15.75" customHeight="1">
      <c r="A43" s="116">
        <v>45658</v>
      </c>
      <c r="B43" s="117" t="s">
        <v>326</v>
      </c>
      <c r="C43" s="118" t="s">
        <v>293</v>
      </c>
      <c r="D43" s="118" t="s">
        <v>287</v>
      </c>
      <c r="E43" s="118" t="s">
        <v>330</v>
      </c>
      <c r="F43" s="117">
        <v>5.0999999999999996</v>
      </c>
      <c r="G43" s="119">
        <v>31000</v>
      </c>
    </row>
    <row r="44" spans="1:7" ht="15.75" customHeight="1">
      <c r="A44" s="116">
        <v>45658</v>
      </c>
      <c r="B44" s="117" t="s">
        <v>331</v>
      </c>
      <c r="C44" s="118" t="s">
        <v>277</v>
      </c>
      <c r="D44" s="118" t="s">
        <v>273</v>
      </c>
      <c r="E44" s="118" t="s">
        <v>332</v>
      </c>
      <c r="F44" s="117">
        <v>16.899999999999999</v>
      </c>
      <c r="G44" s="119">
        <v>115000</v>
      </c>
    </row>
    <row r="45" spans="1:7" ht="15.75" customHeight="1">
      <c r="A45" s="116">
        <v>45658</v>
      </c>
      <c r="B45" s="117" t="s">
        <v>323</v>
      </c>
      <c r="C45" s="118" t="s">
        <v>324</v>
      </c>
      <c r="D45" s="118" t="s">
        <v>287</v>
      </c>
      <c r="E45" s="118" t="s">
        <v>333</v>
      </c>
      <c r="F45" s="117">
        <v>19</v>
      </c>
      <c r="G45" s="119">
        <v>100500</v>
      </c>
    </row>
    <row r="46" spans="1:7" ht="15.75" customHeight="1">
      <c r="A46" s="116">
        <v>45658</v>
      </c>
      <c r="B46" s="117" t="s">
        <v>331</v>
      </c>
      <c r="C46" s="118" t="s">
        <v>277</v>
      </c>
      <c r="D46" s="118" t="s">
        <v>273</v>
      </c>
      <c r="E46" s="118" t="s">
        <v>334</v>
      </c>
      <c r="F46" s="117">
        <v>15.9</v>
      </c>
      <c r="G46" s="119">
        <v>110000</v>
      </c>
    </row>
    <row r="47" spans="1:7" ht="15.75" customHeight="1">
      <c r="A47" s="116">
        <v>45658</v>
      </c>
      <c r="B47" s="117" t="s">
        <v>276</v>
      </c>
      <c r="C47" s="118" t="s">
        <v>277</v>
      </c>
      <c r="D47" s="118" t="s">
        <v>273</v>
      </c>
      <c r="E47" s="118" t="s">
        <v>335</v>
      </c>
      <c r="F47" s="117">
        <v>23.6</v>
      </c>
      <c r="G47" s="119">
        <v>148500</v>
      </c>
    </row>
    <row r="48" spans="1:7" ht="15.75" customHeight="1">
      <c r="A48" s="116">
        <v>45658</v>
      </c>
      <c r="B48" s="117" t="s">
        <v>280</v>
      </c>
      <c r="C48" s="118" t="s">
        <v>277</v>
      </c>
      <c r="D48" s="118" t="s">
        <v>273</v>
      </c>
      <c r="E48" s="118" t="s">
        <v>336</v>
      </c>
      <c r="F48" s="117">
        <v>23.1</v>
      </c>
      <c r="G48" s="119">
        <v>153000</v>
      </c>
    </row>
    <row r="49" spans="1:7" ht="15.75" customHeight="1">
      <c r="A49" s="116">
        <v>45658</v>
      </c>
      <c r="B49" s="117" t="s">
        <v>298</v>
      </c>
      <c r="C49" s="118" t="s">
        <v>277</v>
      </c>
      <c r="D49" s="118" t="s">
        <v>287</v>
      </c>
      <c r="E49" s="118" t="s">
        <v>337</v>
      </c>
      <c r="F49" s="117">
        <v>20.5</v>
      </c>
      <c r="G49" s="119">
        <v>109000</v>
      </c>
    </row>
    <row r="50" spans="1:7" ht="15.75" customHeight="1">
      <c r="A50" s="116">
        <v>45658</v>
      </c>
      <c r="B50" s="117" t="s">
        <v>298</v>
      </c>
      <c r="C50" s="118" t="s">
        <v>277</v>
      </c>
      <c r="D50" s="118" t="s">
        <v>287</v>
      </c>
      <c r="E50" s="118" t="s">
        <v>338</v>
      </c>
      <c r="F50" s="117">
        <v>1.9</v>
      </c>
      <c r="G50" s="119">
        <v>22000</v>
      </c>
    </row>
    <row r="51" spans="1:7" ht="15.75" customHeight="1">
      <c r="A51" s="116">
        <v>45658</v>
      </c>
      <c r="B51" s="117" t="s">
        <v>298</v>
      </c>
      <c r="C51" s="118" t="s">
        <v>277</v>
      </c>
      <c r="D51" s="118" t="s">
        <v>287</v>
      </c>
      <c r="E51" s="118" t="s">
        <v>339</v>
      </c>
      <c r="F51" s="117">
        <v>19.3</v>
      </c>
      <c r="G51" s="119">
        <v>107500</v>
      </c>
    </row>
    <row r="52" spans="1:7" ht="15.75" customHeight="1">
      <c r="A52" s="116">
        <v>45658</v>
      </c>
      <c r="B52" s="117" t="s">
        <v>340</v>
      </c>
      <c r="C52" s="118" t="s">
        <v>309</v>
      </c>
      <c r="D52" s="118" t="s">
        <v>287</v>
      </c>
      <c r="E52" s="118" t="s">
        <v>341</v>
      </c>
      <c r="F52" s="117">
        <v>25.3</v>
      </c>
      <c r="G52" s="119">
        <v>146000</v>
      </c>
    </row>
    <row r="53" spans="1:7" ht="15.75" customHeight="1">
      <c r="A53" s="116">
        <v>45658</v>
      </c>
      <c r="B53" s="117" t="s">
        <v>340</v>
      </c>
      <c r="C53" s="118" t="s">
        <v>309</v>
      </c>
      <c r="D53" s="118" t="s">
        <v>287</v>
      </c>
      <c r="E53" s="118" t="s">
        <v>342</v>
      </c>
      <c r="F53" s="117">
        <v>24.8</v>
      </c>
      <c r="G53" s="119">
        <v>143000</v>
      </c>
    </row>
    <row r="54" spans="1:7" ht="15.75" customHeight="1">
      <c r="A54" s="116">
        <v>45658</v>
      </c>
      <c r="B54" s="117" t="s">
        <v>282</v>
      </c>
      <c r="C54" s="118" t="s">
        <v>272</v>
      </c>
      <c r="D54" s="118" t="s">
        <v>287</v>
      </c>
      <c r="E54" s="118" t="s">
        <v>343</v>
      </c>
      <c r="F54" s="117">
        <v>21.2</v>
      </c>
      <c r="G54" s="119">
        <v>112500</v>
      </c>
    </row>
    <row r="55" spans="1:7" ht="15.75" customHeight="1">
      <c r="A55" s="116">
        <v>45658</v>
      </c>
      <c r="B55" s="117" t="s">
        <v>282</v>
      </c>
      <c r="C55" s="118" t="s">
        <v>272</v>
      </c>
      <c r="D55" s="118" t="s">
        <v>273</v>
      </c>
      <c r="E55" s="118" t="s">
        <v>344</v>
      </c>
      <c r="F55" s="117">
        <v>19.600000000000001</v>
      </c>
      <c r="G55" s="119">
        <v>122000</v>
      </c>
    </row>
    <row r="56" spans="1:7" ht="15.75" customHeight="1">
      <c r="A56" s="116">
        <v>45658</v>
      </c>
      <c r="B56" s="117" t="s">
        <v>296</v>
      </c>
      <c r="C56" s="118" t="s">
        <v>277</v>
      </c>
      <c r="D56" s="118" t="s">
        <v>287</v>
      </c>
      <c r="E56" s="118" t="s">
        <v>345</v>
      </c>
      <c r="F56" s="117">
        <v>18.8</v>
      </c>
      <c r="G56" s="119">
        <v>101000</v>
      </c>
    </row>
    <row r="57" spans="1:7" ht="15.75" customHeight="1">
      <c r="A57" s="116">
        <v>45658</v>
      </c>
      <c r="B57" s="117" t="s">
        <v>298</v>
      </c>
      <c r="C57" s="118" t="s">
        <v>277</v>
      </c>
      <c r="D57" s="118" t="s">
        <v>287</v>
      </c>
      <c r="E57" s="118" t="s">
        <v>346</v>
      </c>
      <c r="F57" s="117">
        <v>19.5</v>
      </c>
      <c r="G57" s="119">
        <v>104000</v>
      </c>
    </row>
    <row r="58" spans="1:7" ht="15.75" customHeight="1">
      <c r="A58" s="116">
        <v>45658</v>
      </c>
      <c r="B58" s="117" t="s">
        <v>308</v>
      </c>
      <c r="C58" s="118" t="s">
        <v>309</v>
      </c>
      <c r="D58" s="118" t="s">
        <v>287</v>
      </c>
      <c r="E58" s="118" t="s">
        <v>347</v>
      </c>
      <c r="F58" s="117">
        <v>15.2</v>
      </c>
      <c r="G58" s="119">
        <v>74000</v>
      </c>
    </row>
    <row r="59" spans="1:7" ht="15.75" customHeight="1">
      <c r="A59" s="116">
        <v>45658</v>
      </c>
      <c r="B59" s="117" t="s">
        <v>298</v>
      </c>
      <c r="C59" s="118" t="s">
        <v>277</v>
      </c>
      <c r="D59" s="118" t="s">
        <v>287</v>
      </c>
      <c r="E59" s="118" t="s">
        <v>348</v>
      </c>
      <c r="F59" s="117">
        <v>4.8</v>
      </c>
      <c r="G59" s="119">
        <v>32500</v>
      </c>
    </row>
    <row r="60" spans="1:7" ht="15.75" customHeight="1">
      <c r="A60" s="116">
        <v>45658</v>
      </c>
      <c r="B60" s="117" t="s">
        <v>308</v>
      </c>
      <c r="C60" s="118" t="s">
        <v>309</v>
      </c>
      <c r="D60" s="118" t="s">
        <v>287</v>
      </c>
      <c r="E60" s="118" t="s">
        <v>329</v>
      </c>
      <c r="F60" s="117">
        <v>14.1</v>
      </c>
      <c r="G60" s="119">
        <v>70000</v>
      </c>
    </row>
    <row r="61" spans="1:7" ht="15.75" customHeight="1">
      <c r="A61" s="116">
        <v>45658</v>
      </c>
      <c r="B61" s="117" t="s">
        <v>280</v>
      </c>
      <c r="C61" s="118" t="s">
        <v>277</v>
      </c>
      <c r="D61" s="118" t="s">
        <v>273</v>
      </c>
      <c r="E61" s="118" t="s">
        <v>295</v>
      </c>
      <c r="F61" s="117">
        <v>16</v>
      </c>
      <c r="G61" s="119">
        <v>103000</v>
      </c>
    </row>
    <row r="62" spans="1:7" ht="15.75" customHeight="1">
      <c r="A62" s="116">
        <v>45658</v>
      </c>
      <c r="B62" s="117" t="s">
        <v>312</v>
      </c>
      <c r="C62" s="118" t="s">
        <v>277</v>
      </c>
      <c r="D62" s="118" t="s">
        <v>273</v>
      </c>
      <c r="E62" s="118" t="s">
        <v>349</v>
      </c>
      <c r="F62" s="117">
        <v>7</v>
      </c>
      <c r="G62" s="119">
        <v>47000</v>
      </c>
    </row>
    <row r="63" spans="1:7" ht="15.75" customHeight="1">
      <c r="A63" s="116">
        <v>45658</v>
      </c>
      <c r="B63" s="117" t="s">
        <v>298</v>
      </c>
      <c r="C63" s="118" t="s">
        <v>277</v>
      </c>
      <c r="D63" s="118" t="s">
        <v>287</v>
      </c>
      <c r="E63" s="118" t="s">
        <v>339</v>
      </c>
      <c r="F63" s="117">
        <v>17.899999999999999</v>
      </c>
      <c r="G63" s="119">
        <v>102500</v>
      </c>
    </row>
    <row r="64" spans="1:7" ht="15.75" customHeight="1">
      <c r="A64" s="116">
        <v>45658</v>
      </c>
      <c r="B64" s="117" t="s">
        <v>350</v>
      </c>
      <c r="C64" s="118" t="s">
        <v>272</v>
      </c>
      <c r="D64" s="118" t="s">
        <v>287</v>
      </c>
      <c r="E64" s="118" t="s">
        <v>351</v>
      </c>
      <c r="F64" s="117">
        <v>16.7</v>
      </c>
      <c r="G64" s="119">
        <v>92000</v>
      </c>
    </row>
    <row r="65" spans="1:7" ht="15.75" customHeight="1">
      <c r="A65" s="116">
        <v>45658</v>
      </c>
      <c r="B65" s="117" t="s">
        <v>280</v>
      </c>
      <c r="C65" s="118" t="s">
        <v>277</v>
      </c>
      <c r="D65" s="118" t="s">
        <v>273</v>
      </c>
      <c r="E65" s="118" t="s">
        <v>295</v>
      </c>
      <c r="F65" s="117">
        <v>12.4</v>
      </c>
      <c r="G65" s="119">
        <v>115500</v>
      </c>
    </row>
    <row r="66" spans="1:7" ht="15.75" customHeight="1">
      <c r="A66" s="116">
        <v>45658</v>
      </c>
      <c r="B66" s="117" t="s">
        <v>280</v>
      </c>
      <c r="C66" s="118" t="s">
        <v>277</v>
      </c>
      <c r="D66" s="118" t="s">
        <v>273</v>
      </c>
      <c r="E66" s="118" t="s">
        <v>352</v>
      </c>
      <c r="F66" s="117">
        <v>22.3</v>
      </c>
      <c r="G66" s="119">
        <v>147500</v>
      </c>
    </row>
    <row r="67" spans="1:7" ht="15.75" customHeight="1">
      <c r="A67" s="116">
        <v>45658</v>
      </c>
      <c r="B67" s="117" t="s">
        <v>298</v>
      </c>
      <c r="C67" s="118" t="s">
        <v>277</v>
      </c>
      <c r="D67" s="118" t="s">
        <v>287</v>
      </c>
      <c r="E67" s="118" t="s">
        <v>353</v>
      </c>
      <c r="F67" s="117">
        <v>16.8</v>
      </c>
      <c r="G67" s="119">
        <v>81500</v>
      </c>
    </row>
    <row r="68" spans="1:7" ht="15.75" customHeight="1">
      <c r="A68" s="116">
        <v>45658</v>
      </c>
      <c r="B68" s="117" t="s">
        <v>296</v>
      </c>
      <c r="C68" s="118" t="s">
        <v>277</v>
      </c>
      <c r="D68" s="118" t="s">
        <v>287</v>
      </c>
      <c r="E68" s="118" t="s">
        <v>354</v>
      </c>
      <c r="F68" s="117">
        <v>19.600000000000001</v>
      </c>
      <c r="G68" s="119">
        <v>103500</v>
      </c>
    </row>
    <row r="69" spans="1:7" ht="15.75" customHeight="1">
      <c r="A69" s="116">
        <v>45658</v>
      </c>
      <c r="B69" s="117" t="s">
        <v>298</v>
      </c>
      <c r="C69" s="118" t="s">
        <v>277</v>
      </c>
      <c r="D69" s="118" t="s">
        <v>273</v>
      </c>
      <c r="E69" s="118" t="s">
        <v>355</v>
      </c>
      <c r="F69" s="117">
        <v>4.7</v>
      </c>
      <c r="G69" s="119">
        <v>44500</v>
      </c>
    </row>
    <row r="70" spans="1:7" ht="15.75" customHeight="1">
      <c r="A70" s="116">
        <v>45658</v>
      </c>
      <c r="B70" s="117" t="s">
        <v>298</v>
      </c>
      <c r="C70" s="118" t="s">
        <v>277</v>
      </c>
      <c r="D70" s="118" t="s">
        <v>273</v>
      </c>
      <c r="E70" s="118" t="s">
        <v>356</v>
      </c>
      <c r="F70" s="117">
        <v>4.7</v>
      </c>
      <c r="G70" s="119">
        <v>46000</v>
      </c>
    </row>
    <row r="71" spans="1:7" ht="15.75" customHeight="1">
      <c r="A71" s="116">
        <v>45658</v>
      </c>
      <c r="B71" s="117" t="s">
        <v>298</v>
      </c>
      <c r="C71" s="118" t="s">
        <v>277</v>
      </c>
      <c r="D71" s="118" t="s">
        <v>273</v>
      </c>
      <c r="E71" s="118" t="s">
        <v>357</v>
      </c>
      <c r="F71" s="117">
        <v>7.1</v>
      </c>
      <c r="G71" s="119">
        <v>58000</v>
      </c>
    </row>
    <row r="72" spans="1:7" ht="15.75" customHeight="1">
      <c r="A72" s="116">
        <v>45658</v>
      </c>
      <c r="B72" s="117" t="s">
        <v>298</v>
      </c>
      <c r="C72" s="118" t="s">
        <v>277</v>
      </c>
      <c r="D72" s="118" t="s">
        <v>273</v>
      </c>
      <c r="E72" s="118" t="s">
        <v>358</v>
      </c>
      <c r="F72" s="117">
        <v>18.600000000000001</v>
      </c>
      <c r="G72" s="119">
        <v>127500</v>
      </c>
    </row>
    <row r="73" spans="1:7" ht="15.75" customHeight="1">
      <c r="A73" s="116">
        <v>45658</v>
      </c>
      <c r="B73" s="117" t="s">
        <v>308</v>
      </c>
      <c r="C73" s="118" t="s">
        <v>309</v>
      </c>
      <c r="D73" s="118" t="s">
        <v>287</v>
      </c>
      <c r="E73" s="118" t="s">
        <v>359</v>
      </c>
      <c r="F73" s="117">
        <v>14.2</v>
      </c>
      <c r="G73" s="119">
        <v>75500</v>
      </c>
    </row>
    <row r="74" spans="1:7" ht="15.75" customHeight="1">
      <c r="A74" s="116">
        <v>45658</v>
      </c>
      <c r="B74" s="117" t="s">
        <v>296</v>
      </c>
      <c r="C74" s="118" t="s">
        <v>277</v>
      </c>
      <c r="D74" s="118" t="s">
        <v>287</v>
      </c>
      <c r="E74" s="118" t="s">
        <v>360</v>
      </c>
      <c r="F74" s="117">
        <v>19</v>
      </c>
      <c r="G74" s="119">
        <v>101500</v>
      </c>
    </row>
    <row r="75" spans="1:7" ht="15.75" customHeight="1">
      <c r="A75" s="116">
        <v>45658</v>
      </c>
      <c r="B75" s="117" t="s">
        <v>308</v>
      </c>
      <c r="C75" s="118" t="s">
        <v>309</v>
      </c>
      <c r="D75" s="118" t="s">
        <v>287</v>
      </c>
      <c r="E75" s="118" t="s">
        <v>361</v>
      </c>
      <c r="F75" s="117">
        <v>15.1</v>
      </c>
      <c r="G75" s="119">
        <v>74000</v>
      </c>
    </row>
    <row r="76" spans="1:7" ht="15.75" customHeight="1">
      <c r="A76" s="116">
        <v>45658</v>
      </c>
      <c r="B76" s="117" t="s">
        <v>296</v>
      </c>
      <c r="C76" s="118" t="s">
        <v>277</v>
      </c>
      <c r="D76" s="118" t="s">
        <v>301</v>
      </c>
      <c r="E76" s="118" t="s">
        <v>362</v>
      </c>
      <c r="F76" s="117">
        <v>21.9</v>
      </c>
      <c r="G76" s="119">
        <v>137500</v>
      </c>
    </row>
    <row r="77" spans="1:7" ht="15.75" customHeight="1">
      <c r="A77" s="116">
        <v>45658</v>
      </c>
      <c r="B77" s="117" t="s">
        <v>363</v>
      </c>
      <c r="C77" s="118" t="s">
        <v>324</v>
      </c>
      <c r="D77" s="118" t="s">
        <v>287</v>
      </c>
      <c r="E77" s="118" t="s">
        <v>364</v>
      </c>
      <c r="F77" s="117">
        <v>14.8</v>
      </c>
      <c r="G77" s="119">
        <v>65000</v>
      </c>
    </row>
    <row r="78" spans="1:7" ht="15.75" customHeight="1">
      <c r="A78" s="116">
        <v>45658</v>
      </c>
      <c r="B78" s="117" t="s">
        <v>298</v>
      </c>
      <c r="C78" s="118" t="s">
        <v>277</v>
      </c>
      <c r="D78" s="118" t="s">
        <v>301</v>
      </c>
      <c r="E78" s="118" t="s">
        <v>365</v>
      </c>
      <c r="F78" s="117">
        <v>16.8</v>
      </c>
      <c r="G78" s="119">
        <v>93000</v>
      </c>
    </row>
    <row r="79" spans="1:7" ht="15.75" customHeight="1">
      <c r="A79" s="116">
        <v>45658</v>
      </c>
      <c r="B79" s="117" t="s">
        <v>331</v>
      </c>
      <c r="C79" s="118" t="s">
        <v>277</v>
      </c>
      <c r="D79" s="118" t="s">
        <v>287</v>
      </c>
      <c r="E79" s="118" t="s">
        <v>366</v>
      </c>
      <c r="F79" s="117">
        <v>20.3</v>
      </c>
      <c r="G79" s="119">
        <v>118500</v>
      </c>
    </row>
    <row r="80" spans="1:7" ht="15.75" customHeight="1">
      <c r="A80" s="116">
        <v>45658</v>
      </c>
      <c r="B80" s="117" t="s">
        <v>298</v>
      </c>
      <c r="C80" s="118" t="s">
        <v>277</v>
      </c>
      <c r="D80" s="118" t="s">
        <v>273</v>
      </c>
      <c r="E80" s="118" t="s">
        <v>367</v>
      </c>
      <c r="F80" s="117">
        <v>19.5</v>
      </c>
      <c r="G80" s="119">
        <v>146000</v>
      </c>
    </row>
    <row r="81" spans="1:7" ht="15.75" customHeight="1">
      <c r="A81" s="116">
        <v>45658</v>
      </c>
      <c r="B81" s="117" t="s">
        <v>368</v>
      </c>
      <c r="C81" s="118" t="s">
        <v>277</v>
      </c>
      <c r="D81" s="118" t="s">
        <v>287</v>
      </c>
      <c r="E81" s="118" t="s">
        <v>369</v>
      </c>
      <c r="F81" s="117">
        <v>10.199999999999999</v>
      </c>
      <c r="G81" s="119">
        <v>78000</v>
      </c>
    </row>
    <row r="82" spans="1:7" ht="15.75" customHeight="1">
      <c r="A82" s="116">
        <v>45658</v>
      </c>
      <c r="B82" s="117" t="s">
        <v>296</v>
      </c>
      <c r="C82" s="118" t="s">
        <v>277</v>
      </c>
      <c r="D82" s="118" t="s">
        <v>287</v>
      </c>
      <c r="E82" s="118" t="s">
        <v>370</v>
      </c>
      <c r="F82" s="117">
        <v>8.3000000000000007</v>
      </c>
      <c r="G82" s="119">
        <v>74500</v>
      </c>
    </row>
    <row r="83" spans="1:7" ht="15.75" customHeight="1">
      <c r="A83" s="116">
        <v>45658</v>
      </c>
      <c r="B83" s="117" t="s">
        <v>371</v>
      </c>
      <c r="C83" s="118" t="s">
        <v>277</v>
      </c>
      <c r="D83" s="118" t="s">
        <v>273</v>
      </c>
      <c r="E83" s="118" t="s">
        <v>372</v>
      </c>
      <c r="F83" s="117">
        <v>20.100000000000001</v>
      </c>
      <c r="G83" s="119">
        <v>136500</v>
      </c>
    </row>
    <row r="84" spans="1:7" ht="15.75" customHeight="1">
      <c r="A84" s="116">
        <v>45658</v>
      </c>
      <c r="B84" s="117" t="s">
        <v>285</v>
      </c>
      <c r="C84" s="118" t="s">
        <v>286</v>
      </c>
      <c r="D84" s="118" t="s">
        <v>287</v>
      </c>
      <c r="E84" s="118" t="s">
        <v>373</v>
      </c>
      <c r="F84" s="117">
        <v>17.8</v>
      </c>
      <c r="G84" s="119">
        <v>106000</v>
      </c>
    </row>
    <row r="85" spans="1:7" ht="14.5">
      <c r="A85" s="116">
        <v>45658</v>
      </c>
      <c r="B85" s="117" t="s">
        <v>371</v>
      </c>
      <c r="C85" s="118" t="s">
        <v>277</v>
      </c>
      <c r="D85" s="118" t="s">
        <v>273</v>
      </c>
      <c r="E85" s="118" t="s">
        <v>374</v>
      </c>
      <c r="F85" s="117">
        <v>20.5</v>
      </c>
      <c r="G85" s="119">
        <v>199000</v>
      </c>
    </row>
    <row r="86" spans="1:7" ht="14.5">
      <c r="A86" s="116">
        <v>45658</v>
      </c>
      <c r="B86" s="117" t="s">
        <v>296</v>
      </c>
      <c r="C86" s="118" t="s">
        <v>277</v>
      </c>
      <c r="D86" s="118" t="s">
        <v>287</v>
      </c>
      <c r="E86" s="118" t="s">
        <v>375</v>
      </c>
      <c r="F86" s="117">
        <v>21.1</v>
      </c>
      <c r="G86" s="119">
        <v>117500</v>
      </c>
    </row>
    <row r="87" spans="1:7" ht="14.5">
      <c r="A87" s="116">
        <v>45658</v>
      </c>
      <c r="B87" s="117" t="s">
        <v>296</v>
      </c>
      <c r="C87" s="118" t="s">
        <v>277</v>
      </c>
      <c r="D87" s="118" t="s">
        <v>287</v>
      </c>
      <c r="E87" s="118" t="s">
        <v>376</v>
      </c>
      <c r="F87" s="117">
        <v>20.7</v>
      </c>
      <c r="G87" s="119">
        <v>115500</v>
      </c>
    </row>
    <row r="88" spans="1:7" ht="14.5">
      <c r="A88" s="116">
        <v>45658</v>
      </c>
      <c r="B88" s="117" t="s">
        <v>276</v>
      </c>
      <c r="C88" s="118" t="s">
        <v>277</v>
      </c>
      <c r="D88" s="118" t="s">
        <v>273</v>
      </c>
      <c r="E88" s="118" t="s">
        <v>377</v>
      </c>
      <c r="F88" s="117">
        <v>18.3</v>
      </c>
      <c r="G88" s="119">
        <v>121000</v>
      </c>
    </row>
    <row r="89" spans="1:7" ht="29">
      <c r="A89" s="116">
        <v>45658</v>
      </c>
      <c r="B89" s="117" t="s">
        <v>276</v>
      </c>
      <c r="C89" s="118" t="s">
        <v>277</v>
      </c>
      <c r="D89" s="118" t="s">
        <v>273</v>
      </c>
      <c r="E89" s="118" t="s">
        <v>378</v>
      </c>
      <c r="F89" s="117">
        <v>2.2000000000000002</v>
      </c>
      <c r="G89" s="119">
        <v>40000</v>
      </c>
    </row>
    <row r="90" spans="1:7" ht="14.5">
      <c r="A90" s="116">
        <v>45658</v>
      </c>
      <c r="B90" s="117" t="s">
        <v>298</v>
      </c>
      <c r="C90" s="118" t="s">
        <v>277</v>
      </c>
      <c r="D90" s="118" t="s">
        <v>287</v>
      </c>
      <c r="E90" s="118" t="s">
        <v>379</v>
      </c>
      <c r="F90" s="117">
        <v>16.8</v>
      </c>
      <c r="G90" s="119">
        <v>82500</v>
      </c>
    </row>
    <row r="91" spans="1:7" ht="14.5">
      <c r="A91" s="116">
        <v>45658</v>
      </c>
      <c r="B91" s="117" t="s">
        <v>276</v>
      </c>
      <c r="C91" s="118" t="s">
        <v>277</v>
      </c>
      <c r="D91" s="118" t="s">
        <v>273</v>
      </c>
      <c r="E91" s="118" t="s">
        <v>380</v>
      </c>
      <c r="F91" s="117">
        <v>19.399999999999999</v>
      </c>
      <c r="G91" s="119">
        <v>122000</v>
      </c>
    </row>
    <row r="92" spans="1:7" ht="14.5">
      <c r="A92" s="116">
        <v>45658</v>
      </c>
      <c r="B92" s="117" t="s">
        <v>298</v>
      </c>
      <c r="C92" s="118" t="s">
        <v>277</v>
      </c>
      <c r="D92" s="118" t="s">
        <v>287</v>
      </c>
      <c r="E92" s="118" t="s">
        <v>381</v>
      </c>
      <c r="F92" s="117">
        <v>4.5</v>
      </c>
      <c r="G92" s="119">
        <v>27000</v>
      </c>
    </row>
    <row r="93" spans="1:7" ht="14.5">
      <c r="A93" s="116">
        <v>45658</v>
      </c>
      <c r="B93" s="117" t="s">
        <v>285</v>
      </c>
      <c r="C93" s="118" t="s">
        <v>286</v>
      </c>
      <c r="D93" s="118" t="s">
        <v>287</v>
      </c>
      <c r="E93" s="118" t="s">
        <v>382</v>
      </c>
      <c r="F93" s="117">
        <v>17.899999999999999</v>
      </c>
      <c r="G93" s="119">
        <v>78000</v>
      </c>
    </row>
    <row r="94" spans="1:7" ht="14.5">
      <c r="A94" s="116">
        <v>45658</v>
      </c>
      <c r="B94" s="117" t="s">
        <v>298</v>
      </c>
      <c r="C94" s="118" t="s">
        <v>277</v>
      </c>
      <c r="D94" s="118" t="s">
        <v>287</v>
      </c>
      <c r="E94" s="118" t="s">
        <v>358</v>
      </c>
      <c r="F94" s="117">
        <v>19.100000000000001</v>
      </c>
      <c r="G94" s="119">
        <v>90500</v>
      </c>
    </row>
    <row r="95" spans="1:7" ht="14.5">
      <c r="A95" s="116">
        <v>45689</v>
      </c>
      <c r="B95" s="117" t="s">
        <v>331</v>
      </c>
      <c r="C95" s="118" t="s">
        <v>277</v>
      </c>
      <c r="D95" s="117" t="s">
        <v>273</v>
      </c>
      <c r="E95" s="118" t="s">
        <v>383</v>
      </c>
      <c r="F95" s="117">
        <v>20.5</v>
      </c>
      <c r="G95" s="119">
        <v>143500</v>
      </c>
    </row>
    <row r="96" spans="1:7" ht="14.5">
      <c r="A96" s="116">
        <v>45689</v>
      </c>
      <c r="B96" s="117" t="s">
        <v>371</v>
      </c>
      <c r="C96" s="118" t="s">
        <v>277</v>
      </c>
      <c r="D96" s="117" t="s">
        <v>273</v>
      </c>
      <c r="E96" s="118" t="s">
        <v>384</v>
      </c>
      <c r="F96" s="117">
        <v>20.5</v>
      </c>
      <c r="G96" s="119">
        <v>164000</v>
      </c>
    </row>
    <row r="97" spans="1:7" ht="14.5">
      <c r="A97" s="116">
        <v>45689</v>
      </c>
      <c r="B97" s="117" t="s">
        <v>321</v>
      </c>
      <c r="C97" s="118" t="s">
        <v>272</v>
      </c>
      <c r="D97" s="117" t="s">
        <v>287</v>
      </c>
      <c r="E97" s="118" t="s">
        <v>384</v>
      </c>
      <c r="F97" s="117">
        <v>20.399999999999999</v>
      </c>
      <c r="G97" s="119">
        <v>119500</v>
      </c>
    </row>
    <row r="98" spans="1:7" ht="14.5">
      <c r="A98" s="116">
        <v>45689</v>
      </c>
      <c r="B98" s="117" t="s">
        <v>312</v>
      </c>
      <c r="C98" s="118" t="s">
        <v>277</v>
      </c>
      <c r="D98" s="117" t="s">
        <v>273</v>
      </c>
      <c r="E98" s="118" t="s">
        <v>385</v>
      </c>
      <c r="F98" s="117">
        <v>20.3</v>
      </c>
      <c r="G98" s="119">
        <v>142500</v>
      </c>
    </row>
    <row r="99" spans="1:7" ht="14.5">
      <c r="A99" s="116">
        <v>45689</v>
      </c>
      <c r="B99" s="117" t="s">
        <v>321</v>
      </c>
      <c r="C99" s="118" t="s">
        <v>272</v>
      </c>
      <c r="D99" s="117" t="s">
        <v>273</v>
      </c>
      <c r="E99" s="118" t="s">
        <v>386</v>
      </c>
      <c r="F99" s="117">
        <v>20.3</v>
      </c>
      <c r="G99" s="119">
        <v>131500</v>
      </c>
    </row>
    <row r="100" spans="1:7" ht="14.5">
      <c r="A100" s="116">
        <v>45689</v>
      </c>
      <c r="B100" s="117" t="s">
        <v>371</v>
      </c>
      <c r="C100" s="118" t="s">
        <v>277</v>
      </c>
      <c r="D100" s="117" t="s">
        <v>273</v>
      </c>
      <c r="E100" s="118" t="s">
        <v>387</v>
      </c>
      <c r="F100" s="117">
        <v>20.3</v>
      </c>
      <c r="G100" s="119">
        <v>142000</v>
      </c>
    </row>
    <row r="101" spans="1:7" ht="14.5">
      <c r="A101" s="116">
        <v>45689</v>
      </c>
      <c r="B101" s="117" t="s">
        <v>331</v>
      </c>
      <c r="C101" s="118" t="s">
        <v>277</v>
      </c>
      <c r="D101" s="117" t="s">
        <v>273</v>
      </c>
      <c r="E101" s="118" t="s">
        <v>388</v>
      </c>
      <c r="F101" s="117">
        <v>20.5</v>
      </c>
      <c r="G101" s="119">
        <v>134000</v>
      </c>
    </row>
    <row r="102" spans="1:7" ht="14.5">
      <c r="A102" s="116">
        <v>45689</v>
      </c>
      <c r="B102" s="117" t="s">
        <v>296</v>
      </c>
      <c r="C102" s="118" t="s">
        <v>277</v>
      </c>
      <c r="D102" s="117" t="s">
        <v>389</v>
      </c>
      <c r="E102" s="118" t="s">
        <v>384</v>
      </c>
      <c r="F102" s="117">
        <v>11.3</v>
      </c>
      <c r="G102" s="119">
        <v>44000</v>
      </c>
    </row>
    <row r="103" spans="1:7" ht="14.5">
      <c r="A103" s="116">
        <v>45689</v>
      </c>
      <c r="B103" s="117" t="s">
        <v>371</v>
      </c>
      <c r="C103" s="118" t="s">
        <v>277</v>
      </c>
      <c r="D103" s="117" t="s">
        <v>273</v>
      </c>
      <c r="E103" s="118" t="s">
        <v>390</v>
      </c>
      <c r="F103" s="117">
        <v>20.5</v>
      </c>
      <c r="G103" s="119">
        <v>152500</v>
      </c>
    </row>
    <row r="104" spans="1:7" ht="14.5">
      <c r="A104" s="116">
        <v>45689</v>
      </c>
      <c r="B104" s="117" t="s">
        <v>371</v>
      </c>
      <c r="C104" s="118" t="s">
        <v>277</v>
      </c>
      <c r="D104" s="117" t="s">
        <v>391</v>
      </c>
      <c r="E104" s="118" t="s">
        <v>392</v>
      </c>
      <c r="F104" s="117">
        <v>20.3</v>
      </c>
      <c r="G104" s="119">
        <v>220000</v>
      </c>
    </row>
    <row r="105" spans="1:7" ht="14.5">
      <c r="A105" s="116">
        <v>45689</v>
      </c>
      <c r="B105" s="117" t="s">
        <v>312</v>
      </c>
      <c r="C105" s="118" t="s">
        <v>277</v>
      </c>
      <c r="D105" s="117" t="s">
        <v>273</v>
      </c>
      <c r="E105" s="118" t="s">
        <v>393</v>
      </c>
      <c r="F105" s="117">
        <v>20.3</v>
      </c>
      <c r="G105" s="119">
        <v>164500</v>
      </c>
    </row>
    <row r="106" spans="1:7" ht="14.5">
      <c r="A106" s="116">
        <v>45689</v>
      </c>
      <c r="B106" s="117" t="s">
        <v>280</v>
      </c>
      <c r="C106" s="118" t="s">
        <v>277</v>
      </c>
      <c r="D106" s="117" t="s">
        <v>287</v>
      </c>
      <c r="E106" s="118" t="s">
        <v>295</v>
      </c>
      <c r="F106" s="117">
        <v>3.4</v>
      </c>
      <c r="G106" s="119">
        <v>50000</v>
      </c>
    </row>
    <row r="107" spans="1:7" ht="14.5">
      <c r="A107" s="116">
        <v>45689</v>
      </c>
      <c r="B107" s="117" t="s">
        <v>368</v>
      </c>
      <c r="C107" s="118" t="s">
        <v>277</v>
      </c>
      <c r="D107" s="117" t="s">
        <v>301</v>
      </c>
      <c r="E107" s="118" t="s">
        <v>394</v>
      </c>
      <c r="F107" s="117">
        <v>23</v>
      </c>
      <c r="G107" s="119">
        <v>131500</v>
      </c>
    </row>
    <row r="108" spans="1:7" ht="14.5">
      <c r="A108" s="116">
        <v>45689</v>
      </c>
      <c r="B108" s="117" t="s">
        <v>280</v>
      </c>
      <c r="C108" s="118" t="s">
        <v>277</v>
      </c>
      <c r="D108" s="117" t="s">
        <v>273</v>
      </c>
      <c r="E108" s="118" t="s">
        <v>395</v>
      </c>
      <c r="F108" s="117">
        <v>7.1</v>
      </c>
      <c r="G108" s="119">
        <v>75500</v>
      </c>
    </row>
    <row r="109" spans="1:7" ht="29">
      <c r="A109" s="116">
        <v>45689</v>
      </c>
      <c r="B109" s="117" t="s">
        <v>368</v>
      </c>
      <c r="C109" s="118" t="s">
        <v>277</v>
      </c>
      <c r="D109" s="117" t="s">
        <v>287</v>
      </c>
      <c r="E109" s="118" t="s">
        <v>396</v>
      </c>
      <c r="F109" s="117">
        <v>19.7</v>
      </c>
      <c r="G109" s="119">
        <v>92000</v>
      </c>
    </row>
    <row r="110" spans="1:7" ht="14.5">
      <c r="A110" s="116">
        <v>45689</v>
      </c>
      <c r="B110" s="117" t="s">
        <v>280</v>
      </c>
      <c r="C110" s="118" t="s">
        <v>277</v>
      </c>
      <c r="D110" s="117" t="s">
        <v>273</v>
      </c>
      <c r="E110" s="118" t="s">
        <v>397</v>
      </c>
      <c r="F110" s="117">
        <v>19.3</v>
      </c>
      <c r="G110" s="119">
        <v>133000</v>
      </c>
    </row>
    <row r="111" spans="1:7" ht="14.5">
      <c r="A111" s="116">
        <v>45689</v>
      </c>
      <c r="B111" s="117" t="s">
        <v>298</v>
      </c>
      <c r="C111" s="118" t="s">
        <v>277</v>
      </c>
      <c r="D111" s="117" t="s">
        <v>389</v>
      </c>
      <c r="E111" s="118" t="s">
        <v>398</v>
      </c>
      <c r="F111" s="117">
        <v>18.600000000000001</v>
      </c>
      <c r="G111" s="119">
        <v>68000</v>
      </c>
    </row>
    <row r="112" spans="1:7" ht="14.5">
      <c r="A112" s="116">
        <v>45689</v>
      </c>
      <c r="B112" s="117" t="s">
        <v>296</v>
      </c>
      <c r="C112" s="118" t="s">
        <v>277</v>
      </c>
      <c r="D112" s="117" t="s">
        <v>389</v>
      </c>
      <c r="E112" s="118" t="s">
        <v>399</v>
      </c>
      <c r="F112" s="117">
        <v>11.3</v>
      </c>
      <c r="G112" s="119">
        <v>44000</v>
      </c>
    </row>
    <row r="113" spans="1:7" ht="14.5">
      <c r="A113" s="116">
        <v>45689</v>
      </c>
      <c r="B113" s="117" t="s">
        <v>331</v>
      </c>
      <c r="C113" s="118" t="s">
        <v>277</v>
      </c>
      <c r="D113" s="117" t="s">
        <v>301</v>
      </c>
      <c r="E113" s="118" t="s">
        <v>400</v>
      </c>
      <c r="F113" s="117">
        <v>20.399999999999999</v>
      </c>
      <c r="G113" s="119">
        <v>120500</v>
      </c>
    </row>
    <row r="114" spans="1:7" ht="14.5">
      <c r="A114" s="116">
        <v>45689</v>
      </c>
      <c r="B114" s="117" t="s">
        <v>280</v>
      </c>
      <c r="C114" s="118" t="s">
        <v>277</v>
      </c>
      <c r="D114" s="117" t="s">
        <v>301</v>
      </c>
      <c r="E114" s="118" t="s">
        <v>397</v>
      </c>
      <c r="F114" s="117">
        <v>2.9</v>
      </c>
      <c r="G114" s="119">
        <v>28500</v>
      </c>
    </row>
    <row r="115" spans="1:7" ht="14.5">
      <c r="A115" s="116">
        <v>45689</v>
      </c>
      <c r="B115" s="117" t="s">
        <v>401</v>
      </c>
      <c r="C115" s="118" t="s">
        <v>293</v>
      </c>
      <c r="D115" s="117" t="s">
        <v>287</v>
      </c>
      <c r="E115" s="118" t="s">
        <v>402</v>
      </c>
      <c r="F115" s="117">
        <v>28.1</v>
      </c>
      <c r="G115" s="119">
        <v>170500</v>
      </c>
    </row>
    <row r="116" spans="1:7" ht="14.5">
      <c r="A116" s="116">
        <v>45689</v>
      </c>
      <c r="B116" s="117" t="s">
        <v>403</v>
      </c>
      <c r="C116" s="118" t="s">
        <v>309</v>
      </c>
      <c r="D116" s="117" t="s">
        <v>391</v>
      </c>
      <c r="E116" s="118" t="s">
        <v>404</v>
      </c>
      <c r="F116" s="117">
        <v>20.8</v>
      </c>
      <c r="G116" s="119">
        <v>167500</v>
      </c>
    </row>
    <row r="117" spans="1:7" ht="14.5">
      <c r="A117" s="116">
        <v>45689</v>
      </c>
      <c r="B117" s="117" t="s">
        <v>298</v>
      </c>
      <c r="C117" s="118" t="s">
        <v>277</v>
      </c>
      <c r="D117" s="117" t="s">
        <v>301</v>
      </c>
      <c r="E117" s="118" t="s">
        <v>405</v>
      </c>
      <c r="F117" s="117">
        <v>20.100000000000001</v>
      </c>
      <c r="G117" s="119">
        <v>124500</v>
      </c>
    </row>
    <row r="118" spans="1:7" ht="14.5">
      <c r="A118" s="116">
        <v>45689</v>
      </c>
      <c r="B118" s="117" t="s">
        <v>401</v>
      </c>
      <c r="C118" s="118" t="s">
        <v>293</v>
      </c>
      <c r="D118" s="117" t="s">
        <v>287</v>
      </c>
      <c r="E118" s="118" t="s">
        <v>402</v>
      </c>
      <c r="F118" s="117">
        <v>26.6</v>
      </c>
      <c r="G118" s="119">
        <v>128500</v>
      </c>
    </row>
    <row r="119" spans="1:7" ht="14.5">
      <c r="A119" s="116">
        <v>45689</v>
      </c>
      <c r="B119" s="117" t="s">
        <v>280</v>
      </c>
      <c r="C119" s="118" t="s">
        <v>277</v>
      </c>
      <c r="D119" s="117" t="s">
        <v>406</v>
      </c>
      <c r="E119" s="118" t="s">
        <v>407</v>
      </c>
      <c r="F119" s="117">
        <v>3.7</v>
      </c>
      <c r="G119" s="119">
        <v>23500</v>
      </c>
    </row>
    <row r="120" spans="1:7" ht="14.5">
      <c r="A120" s="116">
        <v>45689</v>
      </c>
      <c r="B120" s="117" t="s">
        <v>280</v>
      </c>
      <c r="C120" s="118" t="s">
        <v>277</v>
      </c>
      <c r="D120" s="117" t="s">
        <v>273</v>
      </c>
      <c r="E120" s="118" t="s">
        <v>408</v>
      </c>
      <c r="F120" s="117">
        <v>3.1</v>
      </c>
      <c r="G120" s="119">
        <v>27500</v>
      </c>
    </row>
    <row r="121" spans="1:7" ht="14.5">
      <c r="A121" s="116">
        <v>45689</v>
      </c>
      <c r="B121" s="117" t="s">
        <v>312</v>
      </c>
      <c r="C121" s="118" t="s">
        <v>277</v>
      </c>
      <c r="D121" s="117" t="s">
        <v>273</v>
      </c>
      <c r="E121" s="118" t="s">
        <v>409</v>
      </c>
      <c r="F121" s="117">
        <v>3.7</v>
      </c>
      <c r="G121" s="119">
        <v>32000</v>
      </c>
    </row>
    <row r="122" spans="1:7" ht="14.5">
      <c r="A122" s="116">
        <v>45689</v>
      </c>
      <c r="B122" s="117" t="s">
        <v>276</v>
      </c>
      <c r="C122" s="118" t="s">
        <v>277</v>
      </c>
      <c r="D122" s="117" t="s">
        <v>273</v>
      </c>
      <c r="E122" s="118" t="s">
        <v>410</v>
      </c>
      <c r="F122" s="117">
        <v>21.7</v>
      </c>
      <c r="G122" s="119">
        <v>125000</v>
      </c>
    </row>
    <row r="123" spans="1:7" ht="14.5">
      <c r="A123" s="116">
        <v>45689</v>
      </c>
      <c r="B123" s="117" t="s">
        <v>403</v>
      </c>
      <c r="C123" s="118" t="s">
        <v>309</v>
      </c>
      <c r="D123" s="117" t="s">
        <v>273</v>
      </c>
      <c r="E123" s="118" t="s">
        <v>411</v>
      </c>
      <c r="F123" s="117">
        <v>20.5</v>
      </c>
      <c r="G123" s="119">
        <v>166000</v>
      </c>
    </row>
    <row r="124" spans="1:7" ht="29">
      <c r="A124" s="116">
        <v>45689</v>
      </c>
      <c r="B124" s="117" t="s">
        <v>323</v>
      </c>
      <c r="C124" s="118" t="s">
        <v>324</v>
      </c>
      <c r="D124" s="117" t="s">
        <v>301</v>
      </c>
      <c r="E124" s="118" t="s">
        <v>412</v>
      </c>
      <c r="F124" s="117">
        <v>75</v>
      </c>
      <c r="G124" s="119">
        <v>359500</v>
      </c>
    </row>
    <row r="125" spans="1:7" ht="29">
      <c r="A125" s="116">
        <v>45689</v>
      </c>
      <c r="B125" s="117" t="s">
        <v>276</v>
      </c>
      <c r="C125" s="118" t="s">
        <v>277</v>
      </c>
      <c r="D125" s="117" t="s">
        <v>273</v>
      </c>
      <c r="E125" s="118" t="s">
        <v>413</v>
      </c>
      <c r="F125" s="117">
        <v>1.3</v>
      </c>
      <c r="G125" s="119">
        <v>35000</v>
      </c>
    </row>
    <row r="126" spans="1:7" ht="14.5">
      <c r="A126" s="116">
        <v>45689</v>
      </c>
      <c r="B126" s="117" t="s">
        <v>403</v>
      </c>
      <c r="C126" s="118" t="s">
        <v>309</v>
      </c>
      <c r="D126" s="117" t="s">
        <v>273</v>
      </c>
      <c r="E126" s="118" t="s">
        <v>414</v>
      </c>
      <c r="F126" s="117">
        <v>17.7</v>
      </c>
      <c r="G126" s="119">
        <v>124000</v>
      </c>
    </row>
    <row r="127" spans="1:7" ht="14.5">
      <c r="A127" s="116">
        <v>45689</v>
      </c>
      <c r="B127" s="117" t="s">
        <v>298</v>
      </c>
      <c r="C127" s="118" t="s">
        <v>277</v>
      </c>
      <c r="D127" s="117" t="s">
        <v>287</v>
      </c>
      <c r="E127" s="118" t="s">
        <v>415</v>
      </c>
      <c r="F127" s="117">
        <v>16.8</v>
      </c>
      <c r="G127" s="119">
        <v>82500</v>
      </c>
    </row>
    <row r="128" spans="1:7" ht="29">
      <c r="A128" s="116">
        <v>45689</v>
      </c>
      <c r="B128" s="117" t="s">
        <v>276</v>
      </c>
      <c r="C128" s="118" t="s">
        <v>277</v>
      </c>
      <c r="D128" s="117" t="s">
        <v>273</v>
      </c>
      <c r="E128" s="118" t="s">
        <v>416</v>
      </c>
      <c r="F128" s="117">
        <v>10.9</v>
      </c>
      <c r="G128" s="119">
        <v>68000</v>
      </c>
    </row>
    <row r="129" spans="1:7" ht="29">
      <c r="A129" s="116">
        <v>45689</v>
      </c>
      <c r="B129" s="117" t="s">
        <v>340</v>
      </c>
      <c r="C129" s="118" t="s">
        <v>309</v>
      </c>
      <c r="D129" s="117" t="s">
        <v>287</v>
      </c>
      <c r="E129" s="118" t="s">
        <v>417</v>
      </c>
      <c r="F129" s="117">
        <v>55</v>
      </c>
      <c r="G129" s="119">
        <v>251500</v>
      </c>
    </row>
    <row r="130" spans="1:7" ht="14.5">
      <c r="A130" s="116">
        <v>45689</v>
      </c>
      <c r="B130" s="117" t="s">
        <v>298</v>
      </c>
      <c r="C130" s="118" t="s">
        <v>277</v>
      </c>
      <c r="D130" s="117" t="s">
        <v>287</v>
      </c>
      <c r="E130" s="118" t="s">
        <v>418</v>
      </c>
      <c r="F130" s="117">
        <v>6.1</v>
      </c>
      <c r="G130" s="119">
        <v>32500</v>
      </c>
    </row>
    <row r="131" spans="1:7" ht="29">
      <c r="A131" s="116">
        <v>45689</v>
      </c>
      <c r="B131" s="117" t="s">
        <v>323</v>
      </c>
      <c r="C131" s="118" t="s">
        <v>324</v>
      </c>
      <c r="D131" s="117" t="s">
        <v>301</v>
      </c>
      <c r="E131" s="118" t="s">
        <v>419</v>
      </c>
      <c r="F131" s="117">
        <v>72.900000000000006</v>
      </c>
      <c r="G131" s="119">
        <v>363500</v>
      </c>
    </row>
    <row r="132" spans="1:7" ht="14.5">
      <c r="A132" s="116">
        <v>45689</v>
      </c>
      <c r="B132" s="117" t="s">
        <v>298</v>
      </c>
      <c r="C132" s="118" t="s">
        <v>277</v>
      </c>
      <c r="D132" s="117" t="s">
        <v>287</v>
      </c>
      <c r="E132" s="118" t="s">
        <v>339</v>
      </c>
      <c r="F132" s="117">
        <v>16.8</v>
      </c>
      <c r="G132" s="119">
        <v>81500</v>
      </c>
    </row>
    <row r="133" spans="1:7" ht="14.5">
      <c r="A133" s="116">
        <v>45689</v>
      </c>
      <c r="B133" s="117" t="s">
        <v>276</v>
      </c>
      <c r="C133" s="118" t="s">
        <v>277</v>
      </c>
      <c r="D133" s="117" t="s">
        <v>273</v>
      </c>
      <c r="E133" s="118" t="s">
        <v>420</v>
      </c>
      <c r="F133" s="117">
        <v>18.100000000000001</v>
      </c>
      <c r="G133" s="119">
        <v>115000</v>
      </c>
    </row>
    <row r="134" spans="1:7" ht="14.5">
      <c r="A134" s="116">
        <v>45689</v>
      </c>
      <c r="B134" s="117" t="s">
        <v>312</v>
      </c>
      <c r="C134" s="118" t="s">
        <v>277</v>
      </c>
      <c r="D134" s="117" t="s">
        <v>273</v>
      </c>
      <c r="E134" s="118" t="s">
        <v>421</v>
      </c>
      <c r="F134" s="117">
        <v>17.399999999999999</v>
      </c>
      <c r="G134" s="119">
        <v>124500</v>
      </c>
    </row>
    <row r="135" spans="1:7" ht="14.5">
      <c r="A135" s="116">
        <v>45689</v>
      </c>
      <c r="B135" s="117" t="s">
        <v>282</v>
      </c>
      <c r="C135" s="118" t="s">
        <v>272</v>
      </c>
      <c r="D135" s="117" t="s">
        <v>273</v>
      </c>
      <c r="E135" s="118" t="s">
        <v>422</v>
      </c>
      <c r="F135" s="117">
        <v>41.3</v>
      </c>
      <c r="G135" s="119">
        <v>268500</v>
      </c>
    </row>
    <row r="136" spans="1:7" ht="14.5">
      <c r="A136" s="116">
        <v>45689</v>
      </c>
      <c r="B136" s="117" t="s">
        <v>298</v>
      </c>
      <c r="C136" s="118" t="s">
        <v>277</v>
      </c>
      <c r="D136" s="117" t="s">
        <v>273</v>
      </c>
      <c r="E136" s="118" t="s">
        <v>423</v>
      </c>
      <c r="F136" s="117">
        <v>32.799999999999997</v>
      </c>
      <c r="G136" s="119">
        <v>295500</v>
      </c>
    </row>
    <row r="137" spans="1:7" ht="29">
      <c r="A137" s="116">
        <v>45689</v>
      </c>
      <c r="B137" s="117" t="s">
        <v>296</v>
      </c>
      <c r="C137" s="118" t="s">
        <v>277</v>
      </c>
      <c r="D137" s="117" t="s">
        <v>287</v>
      </c>
      <c r="E137" s="118" t="s">
        <v>424</v>
      </c>
      <c r="F137" s="117">
        <v>32.700000000000003</v>
      </c>
      <c r="G137" s="119">
        <v>182500</v>
      </c>
    </row>
    <row r="138" spans="1:7" ht="14.5">
      <c r="A138" s="116">
        <v>45689</v>
      </c>
      <c r="B138" s="117" t="s">
        <v>298</v>
      </c>
      <c r="C138" s="118" t="s">
        <v>277</v>
      </c>
      <c r="D138" s="117" t="s">
        <v>301</v>
      </c>
      <c r="E138" s="118" t="s">
        <v>425</v>
      </c>
      <c r="F138" s="117">
        <v>2</v>
      </c>
      <c r="G138" s="119">
        <v>27000</v>
      </c>
    </row>
    <row r="139" spans="1:7" ht="14.5">
      <c r="A139" s="116">
        <v>45689</v>
      </c>
      <c r="B139" s="117" t="s">
        <v>298</v>
      </c>
      <c r="C139" s="118" t="s">
        <v>277</v>
      </c>
      <c r="D139" s="117" t="s">
        <v>273</v>
      </c>
      <c r="E139" s="118" t="s">
        <v>339</v>
      </c>
      <c r="F139" s="117">
        <v>36.700000000000003</v>
      </c>
      <c r="G139" s="119">
        <v>265000</v>
      </c>
    </row>
    <row r="140" spans="1:7" ht="14.5">
      <c r="A140" s="116">
        <v>45689</v>
      </c>
      <c r="B140" s="117" t="s">
        <v>340</v>
      </c>
      <c r="C140" s="118" t="s">
        <v>309</v>
      </c>
      <c r="D140" s="117" t="s">
        <v>287</v>
      </c>
      <c r="E140" s="118" t="s">
        <v>342</v>
      </c>
      <c r="F140" s="117">
        <v>53.6</v>
      </c>
      <c r="G140" s="119">
        <v>256500</v>
      </c>
    </row>
    <row r="141" spans="1:7" ht="14.5">
      <c r="A141" s="116">
        <v>45689</v>
      </c>
      <c r="B141" s="117" t="s">
        <v>271</v>
      </c>
      <c r="C141" s="118" t="s">
        <v>272</v>
      </c>
      <c r="D141" s="117" t="s">
        <v>273</v>
      </c>
      <c r="E141" s="118" t="s">
        <v>426</v>
      </c>
      <c r="F141" s="117">
        <v>18.3</v>
      </c>
      <c r="G141" s="119">
        <v>132000</v>
      </c>
    </row>
    <row r="142" spans="1:7" ht="14.5">
      <c r="A142" s="116">
        <v>45689</v>
      </c>
      <c r="B142" s="117" t="s">
        <v>271</v>
      </c>
      <c r="C142" s="118" t="s">
        <v>272</v>
      </c>
      <c r="D142" s="117" t="s">
        <v>273</v>
      </c>
      <c r="E142" s="118" t="s">
        <v>427</v>
      </c>
      <c r="F142" s="117">
        <v>20.2</v>
      </c>
      <c r="G142" s="119">
        <v>276500</v>
      </c>
    </row>
    <row r="143" spans="1:7" ht="29">
      <c r="A143" s="116">
        <v>45689</v>
      </c>
      <c r="B143" s="117" t="s">
        <v>276</v>
      </c>
      <c r="C143" s="118" t="s">
        <v>277</v>
      </c>
      <c r="D143" s="117" t="s">
        <v>287</v>
      </c>
      <c r="E143" s="118" t="s">
        <v>428</v>
      </c>
      <c r="F143" s="117">
        <v>21.7</v>
      </c>
      <c r="G143" s="119">
        <v>161000</v>
      </c>
    </row>
    <row r="144" spans="1:7" ht="14.5">
      <c r="A144" s="116">
        <v>45689</v>
      </c>
      <c r="B144" s="117" t="s">
        <v>403</v>
      </c>
      <c r="C144" s="118" t="s">
        <v>309</v>
      </c>
      <c r="D144" s="117" t="s">
        <v>273</v>
      </c>
      <c r="E144" s="118" t="s">
        <v>429</v>
      </c>
      <c r="F144" s="117">
        <v>21.1</v>
      </c>
      <c r="G144" s="119">
        <v>141500</v>
      </c>
    </row>
    <row r="145" spans="1:7" ht="29">
      <c r="A145" s="116">
        <v>45689</v>
      </c>
      <c r="B145" s="117" t="s">
        <v>276</v>
      </c>
      <c r="C145" s="118" t="s">
        <v>277</v>
      </c>
      <c r="D145" s="117" t="s">
        <v>273</v>
      </c>
      <c r="E145" s="118" t="s">
        <v>430</v>
      </c>
      <c r="F145" s="117">
        <v>1.1000000000000001</v>
      </c>
      <c r="G145" s="119">
        <v>35000</v>
      </c>
    </row>
    <row r="146" spans="1:7" ht="14.5">
      <c r="A146" s="116">
        <v>45689</v>
      </c>
      <c r="B146" s="117" t="s">
        <v>276</v>
      </c>
      <c r="C146" s="118" t="s">
        <v>277</v>
      </c>
      <c r="D146" s="117" t="s">
        <v>273</v>
      </c>
      <c r="E146" s="118" t="s">
        <v>431</v>
      </c>
      <c r="F146" s="117">
        <v>20.7</v>
      </c>
      <c r="G146" s="119">
        <v>139500</v>
      </c>
    </row>
    <row r="147" spans="1:7" ht="14.5">
      <c r="A147" s="116">
        <v>45689</v>
      </c>
      <c r="B147" s="117" t="s">
        <v>432</v>
      </c>
      <c r="C147" s="118" t="s">
        <v>433</v>
      </c>
      <c r="D147" s="117" t="s">
        <v>273</v>
      </c>
      <c r="E147" s="118" t="s">
        <v>434</v>
      </c>
      <c r="F147" s="117">
        <v>21.2</v>
      </c>
      <c r="G147" s="119">
        <v>131500</v>
      </c>
    </row>
    <row r="148" spans="1:7" ht="14.5">
      <c r="A148" s="116">
        <v>45689</v>
      </c>
      <c r="B148" s="117" t="s">
        <v>312</v>
      </c>
      <c r="C148" s="118" t="s">
        <v>277</v>
      </c>
      <c r="D148" s="117" t="s">
        <v>273</v>
      </c>
      <c r="E148" s="118" t="s">
        <v>435</v>
      </c>
      <c r="F148" s="117">
        <v>8.4</v>
      </c>
      <c r="G148" s="119">
        <v>58500</v>
      </c>
    </row>
    <row r="149" spans="1:7" ht="14.5">
      <c r="A149" s="116">
        <v>45689</v>
      </c>
      <c r="B149" s="117" t="s">
        <v>298</v>
      </c>
      <c r="C149" s="118" t="s">
        <v>277</v>
      </c>
      <c r="D149" s="117" t="s">
        <v>301</v>
      </c>
      <c r="E149" s="118" t="s">
        <v>436</v>
      </c>
      <c r="F149" s="117">
        <v>11.1</v>
      </c>
      <c r="G149" s="119">
        <v>71000</v>
      </c>
    </row>
    <row r="150" spans="1:7" ht="14.5">
      <c r="A150" s="116">
        <v>45689</v>
      </c>
      <c r="B150" s="117" t="s">
        <v>308</v>
      </c>
      <c r="C150" s="118" t="s">
        <v>309</v>
      </c>
      <c r="D150" s="117" t="s">
        <v>287</v>
      </c>
      <c r="E150" s="118" t="s">
        <v>437</v>
      </c>
      <c r="F150" s="117">
        <v>15.2</v>
      </c>
      <c r="G150" s="119">
        <v>75000</v>
      </c>
    </row>
    <row r="151" spans="1:7" ht="14.5">
      <c r="A151" s="116">
        <v>45689</v>
      </c>
      <c r="B151" s="117" t="s">
        <v>432</v>
      </c>
      <c r="C151" s="118" t="s">
        <v>433</v>
      </c>
      <c r="D151" s="117" t="s">
        <v>273</v>
      </c>
      <c r="E151" s="118" t="s">
        <v>434</v>
      </c>
      <c r="F151" s="117">
        <v>18.8</v>
      </c>
      <c r="G151" s="119">
        <v>119000</v>
      </c>
    </row>
    <row r="152" spans="1:7" ht="14.5">
      <c r="A152" s="116">
        <v>45689</v>
      </c>
      <c r="B152" s="117" t="s">
        <v>308</v>
      </c>
      <c r="C152" s="118" t="s">
        <v>309</v>
      </c>
      <c r="D152" s="117" t="s">
        <v>287</v>
      </c>
      <c r="E152" s="118" t="s">
        <v>438</v>
      </c>
      <c r="F152" s="117">
        <v>9.1</v>
      </c>
      <c r="G152" s="119">
        <v>47000</v>
      </c>
    </row>
    <row r="153" spans="1:7" ht="14.5">
      <c r="A153" s="116">
        <v>45689</v>
      </c>
      <c r="B153" s="117" t="s">
        <v>308</v>
      </c>
      <c r="C153" s="118" t="s">
        <v>309</v>
      </c>
      <c r="D153" s="117" t="s">
        <v>287</v>
      </c>
      <c r="E153" s="118" t="s">
        <v>329</v>
      </c>
      <c r="F153" s="117">
        <v>15.1</v>
      </c>
      <c r="G153" s="119">
        <v>78500</v>
      </c>
    </row>
    <row r="154" spans="1:7" ht="14.5">
      <c r="A154" s="116">
        <v>45689</v>
      </c>
      <c r="B154" s="117" t="s">
        <v>312</v>
      </c>
      <c r="C154" s="118" t="s">
        <v>277</v>
      </c>
      <c r="D154" s="117" t="s">
        <v>273</v>
      </c>
      <c r="E154" s="118" t="s">
        <v>439</v>
      </c>
      <c r="F154" s="117">
        <v>18.2</v>
      </c>
      <c r="G154" s="119">
        <v>115500</v>
      </c>
    </row>
    <row r="155" spans="1:7" ht="14.5">
      <c r="A155" s="116">
        <v>45689</v>
      </c>
      <c r="B155" s="117" t="s">
        <v>331</v>
      </c>
      <c r="C155" s="118" t="s">
        <v>277</v>
      </c>
      <c r="D155" s="117" t="s">
        <v>301</v>
      </c>
      <c r="E155" s="118" t="s">
        <v>440</v>
      </c>
      <c r="F155" s="117">
        <v>11</v>
      </c>
      <c r="G155" s="119">
        <v>62000</v>
      </c>
    </row>
    <row r="156" spans="1:7" ht="14.5">
      <c r="A156" s="116">
        <v>45689</v>
      </c>
      <c r="B156" s="117" t="s">
        <v>298</v>
      </c>
      <c r="C156" s="118" t="s">
        <v>277</v>
      </c>
      <c r="D156" s="117" t="s">
        <v>273</v>
      </c>
      <c r="E156" s="118" t="s">
        <v>441</v>
      </c>
      <c r="F156" s="117">
        <v>16.8</v>
      </c>
      <c r="G156" s="119">
        <v>118500</v>
      </c>
    </row>
    <row r="157" spans="1:7" ht="14.5">
      <c r="A157" s="116">
        <v>45689</v>
      </c>
      <c r="B157" s="117" t="s">
        <v>298</v>
      </c>
      <c r="C157" s="118" t="s">
        <v>277</v>
      </c>
      <c r="D157" s="117" t="s">
        <v>273</v>
      </c>
      <c r="E157" s="118" t="s">
        <v>442</v>
      </c>
      <c r="F157" s="117">
        <v>18.899999999999999</v>
      </c>
      <c r="G157" s="119">
        <v>119500</v>
      </c>
    </row>
    <row r="158" spans="1:7" ht="29">
      <c r="A158" s="116">
        <v>45689</v>
      </c>
      <c r="B158" s="117" t="s">
        <v>298</v>
      </c>
      <c r="C158" s="118" t="s">
        <v>277</v>
      </c>
      <c r="D158" s="117" t="s">
        <v>301</v>
      </c>
      <c r="E158" s="118" t="s">
        <v>443</v>
      </c>
      <c r="F158" s="117">
        <v>19.3</v>
      </c>
      <c r="G158" s="119">
        <v>95000</v>
      </c>
    </row>
    <row r="159" spans="1:7" ht="14.5">
      <c r="A159" s="116">
        <v>45689</v>
      </c>
      <c r="B159" s="117" t="s">
        <v>276</v>
      </c>
      <c r="C159" s="118" t="s">
        <v>277</v>
      </c>
      <c r="D159" s="117" t="s">
        <v>391</v>
      </c>
      <c r="E159" s="118" t="s">
        <v>444</v>
      </c>
      <c r="F159" s="117">
        <v>19.2</v>
      </c>
      <c r="G159" s="119">
        <v>157000</v>
      </c>
    </row>
    <row r="160" spans="1:7" ht="14.5">
      <c r="A160" s="116">
        <v>45689</v>
      </c>
      <c r="B160" s="117" t="s">
        <v>285</v>
      </c>
      <c r="C160" s="118" t="s">
        <v>286</v>
      </c>
      <c r="D160" s="117" t="s">
        <v>273</v>
      </c>
      <c r="E160" s="118" t="s">
        <v>445</v>
      </c>
      <c r="F160" s="117">
        <v>17.8</v>
      </c>
      <c r="G160" s="119">
        <v>144000</v>
      </c>
    </row>
    <row r="161" spans="1:7" ht="14.5">
      <c r="A161" s="116">
        <v>45689</v>
      </c>
      <c r="B161" s="117" t="s">
        <v>280</v>
      </c>
      <c r="C161" s="118" t="s">
        <v>277</v>
      </c>
      <c r="D161" s="117" t="s">
        <v>273</v>
      </c>
      <c r="E161" s="118" t="s">
        <v>295</v>
      </c>
      <c r="F161" s="117">
        <v>6</v>
      </c>
      <c r="G161" s="119">
        <v>45000</v>
      </c>
    </row>
    <row r="162" spans="1:7" ht="14.5">
      <c r="A162" s="116">
        <v>45689</v>
      </c>
      <c r="B162" s="117" t="s">
        <v>285</v>
      </c>
      <c r="C162" s="118" t="s">
        <v>286</v>
      </c>
      <c r="D162" s="117" t="s">
        <v>273</v>
      </c>
      <c r="E162" s="118" t="s">
        <v>446</v>
      </c>
      <c r="F162" s="117">
        <v>20.8</v>
      </c>
      <c r="G162" s="119">
        <v>145000</v>
      </c>
    </row>
    <row r="163" spans="1:7" ht="14.5">
      <c r="A163" s="116">
        <v>45689</v>
      </c>
      <c r="B163" s="117" t="s">
        <v>280</v>
      </c>
      <c r="C163" s="118" t="s">
        <v>277</v>
      </c>
      <c r="D163" s="117" t="s">
        <v>273</v>
      </c>
      <c r="E163" s="118" t="s">
        <v>295</v>
      </c>
      <c r="F163" s="117">
        <v>5.0999999999999996</v>
      </c>
      <c r="G163" s="119">
        <v>41500</v>
      </c>
    </row>
    <row r="164" spans="1:7" ht="14.5">
      <c r="A164" s="116">
        <v>45689</v>
      </c>
      <c r="B164" s="117" t="s">
        <v>280</v>
      </c>
      <c r="C164" s="118" t="s">
        <v>277</v>
      </c>
      <c r="D164" s="117" t="s">
        <v>287</v>
      </c>
      <c r="E164" s="118" t="s">
        <v>295</v>
      </c>
      <c r="F164" s="117">
        <v>21.1</v>
      </c>
      <c r="G164" s="119">
        <v>99500</v>
      </c>
    </row>
    <row r="165" spans="1:7" ht="14.5">
      <c r="A165" s="116">
        <v>45689</v>
      </c>
      <c r="B165" s="117" t="s">
        <v>321</v>
      </c>
      <c r="C165" s="118" t="s">
        <v>272</v>
      </c>
      <c r="D165" s="117" t="s">
        <v>287</v>
      </c>
      <c r="E165" s="118" t="s">
        <v>447</v>
      </c>
      <c r="F165" s="117">
        <v>21.6</v>
      </c>
      <c r="G165" s="119">
        <v>102500</v>
      </c>
    </row>
    <row r="166" spans="1:7" ht="14.5">
      <c r="A166" s="116">
        <v>45689</v>
      </c>
      <c r="B166" s="117" t="s">
        <v>321</v>
      </c>
      <c r="C166" s="118" t="s">
        <v>272</v>
      </c>
      <c r="D166" s="117" t="s">
        <v>273</v>
      </c>
      <c r="E166" s="118" t="s">
        <v>448</v>
      </c>
      <c r="F166" s="117">
        <v>20.9</v>
      </c>
      <c r="G166" s="119">
        <v>145000</v>
      </c>
    </row>
    <row r="167" spans="1:7" ht="14.5">
      <c r="A167" s="116">
        <v>45689</v>
      </c>
      <c r="B167" s="117" t="s">
        <v>296</v>
      </c>
      <c r="C167" s="118" t="s">
        <v>277</v>
      </c>
      <c r="D167" s="117" t="s">
        <v>287</v>
      </c>
      <c r="E167" s="118" t="s">
        <v>370</v>
      </c>
      <c r="F167" s="117">
        <v>21.8</v>
      </c>
      <c r="G167" s="119">
        <v>114500</v>
      </c>
    </row>
    <row r="168" spans="1:7" ht="29">
      <c r="A168" s="116">
        <v>45689</v>
      </c>
      <c r="B168" s="117" t="s">
        <v>363</v>
      </c>
      <c r="C168" s="118" t="s">
        <v>324</v>
      </c>
      <c r="D168" s="117" t="s">
        <v>287</v>
      </c>
      <c r="E168" s="118" t="s">
        <v>449</v>
      </c>
      <c r="F168" s="117">
        <v>16.5</v>
      </c>
      <c r="G168" s="119">
        <v>72500</v>
      </c>
    </row>
    <row r="169" spans="1:7" ht="14.5">
      <c r="A169" s="116">
        <v>45689</v>
      </c>
      <c r="B169" s="117" t="s">
        <v>280</v>
      </c>
      <c r="C169" s="118" t="s">
        <v>277</v>
      </c>
      <c r="D169" s="117" t="s">
        <v>273</v>
      </c>
      <c r="E169" s="118" t="s">
        <v>450</v>
      </c>
      <c r="F169" s="117">
        <v>19.5</v>
      </c>
      <c r="G169" s="119">
        <v>136000</v>
      </c>
    </row>
    <row r="170" spans="1:7" ht="29">
      <c r="A170" s="116">
        <v>45689</v>
      </c>
      <c r="B170" s="117" t="s">
        <v>363</v>
      </c>
      <c r="C170" s="118" t="s">
        <v>324</v>
      </c>
      <c r="D170" s="117" t="s">
        <v>287</v>
      </c>
      <c r="E170" s="118" t="s">
        <v>449</v>
      </c>
      <c r="F170" s="117">
        <v>9.8000000000000007</v>
      </c>
      <c r="G170" s="119">
        <v>44500</v>
      </c>
    </row>
    <row r="171" spans="1:7" ht="14.5">
      <c r="A171" s="116">
        <v>45689</v>
      </c>
      <c r="B171" s="117" t="s">
        <v>280</v>
      </c>
      <c r="C171" s="118" t="s">
        <v>277</v>
      </c>
      <c r="D171" s="117" t="s">
        <v>273</v>
      </c>
      <c r="E171" s="118" t="s">
        <v>451</v>
      </c>
      <c r="F171" s="117">
        <v>19.399999999999999</v>
      </c>
      <c r="G171" s="119">
        <v>139500</v>
      </c>
    </row>
    <row r="172" spans="1:7" ht="14.5">
      <c r="A172" s="116">
        <v>45689</v>
      </c>
      <c r="B172" s="117" t="s">
        <v>296</v>
      </c>
      <c r="C172" s="118" t="s">
        <v>277</v>
      </c>
      <c r="D172" s="117" t="s">
        <v>287</v>
      </c>
      <c r="E172" s="118" t="s">
        <v>452</v>
      </c>
      <c r="F172" s="117">
        <v>12</v>
      </c>
      <c r="G172" s="119">
        <v>111500</v>
      </c>
    </row>
    <row r="173" spans="1:7" ht="14.5">
      <c r="A173" s="116">
        <v>45689</v>
      </c>
      <c r="B173" s="117" t="s">
        <v>312</v>
      </c>
      <c r="C173" s="118" t="s">
        <v>277</v>
      </c>
      <c r="D173" s="117" t="s">
        <v>287</v>
      </c>
      <c r="E173" s="118" t="s">
        <v>453</v>
      </c>
      <c r="F173" s="117">
        <v>20.5</v>
      </c>
      <c r="G173" s="119">
        <v>131000</v>
      </c>
    </row>
    <row r="174" spans="1:7" ht="14.5">
      <c r="A174" s="116">
        <v>45689</v>
      </c>
      <c r="B174" s="117" t="s">
        <v>296</v>
      </c>
      <c r="C174" s="118" t="s">
        <v>277</v>
      </c>
      <c r="D174" s="117" t="s">
        <v>287</v>
      </c>
      <c r="E174" s="118" t="s">
        <v>452</v>
      </c>
      <c r="F174" s="117">
        <v>19.600000000000001</v>
      </c>
      <c r="G174" s="119">
        <v>110500</v>
      </c>
    </row>
    <row r="175" spans="1:7" ht="14.5">
      <c r="A175" s="116">
        <v>45689</v>
      </c>
      <c r="B175" s="117" t="s">
        <v>280</v>
      </c>
      <c r="C175" s="118" t="s">
        <v>277</v>
      </c>
      <c r="D175" s="117" t="s">
        <v>273</v>
      </c>
      <c r="E175" s="118" t="s">
        <v>295</v>
      </c>
      <c r="F175" s="117">
        <v>15.7</v>
      </c>
      <c r="G175" s="119">
        <v>102500</v>
      </c>
    </row>
    <row r="176" spans="1:7" ht="29">
      <c r="A176" s="116">
        <v>45689</v>
      </c>
      <c r="B176" s="117" t="s">
        <v>323</v>
      </c>
      <c r="C176" s="118" t="s">
        <v>324</v>
      </c>
      <c r="D176" s="117" t="s">
        <v>287</v>
      </c>
      <c r="E176" s="118" t="s">
        <v>454</v>
      </c>
      <c r="F176" s="117">
        <v>15.5</v>
      </c>
      <c r="G176" s="119">
        <v>81500</v>
      </c>
    </row>
    <row r="177" spans="1:7" ht="14.5">
      <c r="A177" s="169">
        <v>45689</v>
      </c>
      <c r="B177" s="145" t="s">
        <v>403</v>
      </c>
      <c r="C177" s="170" t="s">
        <v>309</v>
      </c>
      <c r="D177" s="145" t="s">
        <v>391</v>
      </c>
      <c r="E177" s="170" t="s">
        <v>455</v>
      </c>
      <c r="F177" s="145">
        <v>10.3</v>
      </c>
      <c r="G177" s="171">
        <v>91000</v>
      </c>
    </row>
    <row r="178" spans="1:7" ht="14.5">
      <c r="A178" s="116">
        <v>45717</v>
      </c>
      <c r="B178" s="118" t="s">
        <v>456</v>
      </c>
      <c r="C178" s="118" t="s">
        <v>293</v>
      </c>
      <c r="D178" s="117" t="s">
        <v>457</v>
      </c>
      <c r="E178" s="118" t="s">
        <v>458</v>
      </c>
      <c r="F178" s="117">
        <v>9.8000000000000007</v>
      </c>
      <c r="G178" s="119">
        <v>57500</v>
      </c>
    </row>
    <row r="179" spans="1:7" ht="14.5">
      <c r="A179" s="116">
        <v>45717</v>
      </c>
      <c r="B179" s="118" t="s">
        <v>456</v>
      </c>
      <c r="C179" s="118" t="s">
        <v>293</v>
      </c>
      <c r="D179" s="117" t="s">
        <v>457</v>
      </c>
      <c r="E179" s="118" t="s">
        <v>458</v>
      </c>
      <c r="F179" s="117">
        <v>9.4</v>
      </c>
      <c r="G179" s="119">
        <v>59500</v>
      </c>
    </row>
    <row r="180" spans="1:7" ht="14.5">
      <c r="A180" s="116">
        <v>45717</v>
      </c>
      <c r="B180" s="118" t="s">
        <v>298</v>
      </c>
      <c r="C180" s="118" t="s">
        <v>277</v>
      </c>
      <c r="D180" s="117" t="s">
        <v>459</v>
      </c>
      <c r="E180" s="118" t="s">
        <v>460</v>
      </c>
      <c r="F180" s="117">
        <v>16.8</v>
      </c>
      <c r="G180" s="119">
        <v>104500</v>
      </c>
    </row>
    <row r="181" spans="1:7" ht="14.5">
      <c r="A181" s="116">
        <v>45717</v>
      </c>
      <c r="B181" s="118" t="s">
        <v>298</v>
      </c>
      <c r="C181" s="118" t="s">
        <v>277</v>
      </c>
      <c r="D181" s="117" t="s">
        <v>459</v>
      </c>
      <c r="E181" s="118" t="s">
        <v>461</v>
      </c>
      <c r="F181" s="117">
        <v>15.7</v>
      </c>
      <c r="G181" s="119">
        <v>86000</v>
      </c>
    </row>
    <row r="182" spans="1:7" ht="29">
      <c r="A182" s="116">
        <v>45717</v>
      </c>
      <c r="B182" s="118" t="s">
        <v>308</v>
      </c>
      <c r="C182" s="118" t="s">
        <v>309</v>
      </c>
      <c r="D182" s="117" t="s">
        <v>462</v>
      </c>
      <c r="E182" s="118" t="s">
        <v>463</v>
      </c>
      <c r="F182" s="117">
        <v>15.2</v>
      </c>
      <c r="G182" s="119">
        <v>72000</v>
      </c>
    </row>
    <row r="183" spans="1:7" ht="14.5">
      <c r="A183" s="116">
        <v>45717</v>
      </c>
      <c r="B183" s="118" t="s">
        <v>308</v>
      </c>
      <c r="C183" s="118" t="s">
        <v>309</v>
      </c>
      <c r="D183" s="117" t="s">
        <v>462</v>
      </c>
      <c r="E183" s="118" t="s">
        <v>329</v>
      </c>
      <c r="F183" s="117">
        <v>16.8</v>
      </c>
      <c r="G183" s="119">
        <v>71500</v>
      </c>
    </row>
    <row r="184" spans="1:7" ht="14.5">
      <c r="A184" s="116">
        <v>45717</v>
      </c>
      <c r="B184" s="118" t="s">
        <v>298</v>
      </c>
      <c r="C184" s="118" t="s">
        <v>277</v>
      </c>
      <c r="D184" s="117" t="s">
        <v>459</v>
      </c>
      <c r="E184" s="118" t="s">
        <v>464</v>
      </c>
      <c r="F184" s="117">
        <v>16.8</v>
      </c>
      <c r="G184" s="119">
        <v>88500</v>
      </c>
    </row>
    <row r="185" spans="1:7" ht="14.5">
      <c r="A185" s="116">
        <v>45717</v>
      </c>
      <c r="B185" s="118" t="s">
        <v>298</v>
      </c>
      <c r="C185" s="118" t="s">
        <v>277</v>
      </c>
      <c r="D185" s="117" t="s">
        <v>465</v>
      </c>
      <c r="E185" s="118" t="s">
        <v>466</v>
      </c>
      <c r="F185" s="117">
        <v>14.5</v>
      </c>
      <c r="G185" s="119">
        <v>94000</v>
      </c>
    </row>
    <row r="186" spans="1:7" ht="29">
      <c r="A186" s="116">
        <v>45717</v>
      </c>
      <c r="B186" s="118" t="s">
        <v>467</v>
      </c>
      <c r="C186" s="118" t="s">
        <v>324</v>
      </c>
      <c r="D186" s="117" t="s">
        <v>462</v>
      </c>
      <c r="E186" s="118" t="s">
        <v>468</v>
      </c>
      <c r="F186" s="117">
        <v>5.4</v>
      </c>
      <c r="G186" s="119">
        <v>31500</v>
      </c>
    </row>
    <row r="187" spans="1:7" ht="29">
      <c r="A187" s="116">
        <v>45717</v>
      </c>
      <c r="B187" s="118" t="s">
        <v>467</v>
      </c>
      <c r="C187" s="118" t="s">
        <v>324</v>
      </c>
      <c r="D187" s="117" t="s">
        <v>462</v>
      </c>
      <c r="E187" s="118" t="s">
        <v>469</v>
      </c>
      <c r="F187" s="117">
        <v>4.8</v>
      </c>
      <c r="G187" s="119">
        <v>29500</v>
      </c>
    </row>
    <row r="188" spans="1:7" ht="14.5">
      <c r="A188" s="116">
        <v>45717</v>
      </c>
      <c r="B188" s="118" t="s">
        <v>296</v>
      </c>
      <c r="C188" s="118" t="s">
        <v>277</v>
      </c>
      <c r="D188" s="117" t="s">
        <v>462</v>
      </c>
      <c r="E188" s="118" t="s">
        <v>470</v>
      </c>
      <c r="F188" s="117">
        <v>21.8</v>
      </c>
      <c r="G188" s="119">
        <v>100000</v>
      </c>
    </row>
    <row r="189" spans="1:7" ht="14.5">
      <c r="A189" s="116">
        <v>45717</v>
      </c>
      <c r="B189" s="118" t="s">
        <v>298</v>
      </c>
      <c r="C189" s="118" t="s">
        <v>277</v>
      </c>
      <c r="D189" s="117" t="s">
        <v>459</v>
      </c>
      <c r="E189" s="118" t="s">
        <v>471</v>
      </c>
      <c r="F189" s="117">
        <v>39.200000000000003</v>
      </c>
      <c r="G189" s="119">
        <v>209000</v>
      </c>
    </row>
    <row r="190" spans="1:7" ht="14.5">
      <c r="A190" s="116">
        <v>45717</v>
      </c>
      <c r="B190" s="118" t="s">
        <v>280</v>
      </c>
      <c r="C190" s="118" t="s">
        <v>277</v>
      </c>
      <c r="D190" s="117" t="s">
        <v>465</v>
      </c>
      <c r="E190" s="118" t="s">
        <v>295</v>
      </c>
      <c r="F190" s="117">
        <v>17.600000000000001</v>
      </c>
      <c r="G190" s="119">
        <v>125500</v>
      </c>
    </row>
    <row r="191" spans="1:7" ht="14.5">
      <c r="A191" s="116">
        <v>45717</v>
      </c>
      <c r="B191" s="118" t="s">
        <v>280</v>
      </c>
      <c r="C191" s="118" t="s">
        <v>277</v>
      </c>
      <c r="D191" s="117" t="s">
        <v>465</v>
      </c>
      <c r="E191" s="118" t="s">
        <v>295</v>
      </c>
      <c r="F191" s="117">
        <v>20.8</v>
      </c>
      <c r="G191" s="119">
        <v>145500</v>
      </c>
    </row>
    <row r="192" spans="1:7" ht="14.5">
      <c r="A192" s="116">
        <v>45717</v>
      </c>
      <c r="B192" s="118" t="s">
        <v>312</v>
      </c>
      <c r="C192" s="118" t="s">
        <v>277</v>
      </c>
      <c r="D192" s="117" t="s">
        <v>465</v>
      </c>
      <c r="E192" s="118" t="s">
        <v>472</v>
      </c>
      <c r="F192" s="117">
        <v>21.1</v>
      </c>
      <c r="G192" s="119">
        <v>134500</v>
      </c>
    </row>
    <row r="193" spans="1:7" ht="14.5">
      <c r="A193" s="116">
        <v>45717</v>
      </c>
      <c r="B193" s="118" t="s">
        <v>280</v>
      </c>
      <c r="C193" s="118" t="s">
        <v>277</v>
      </c>
      <c r="D193" s="117" t="s">
        <v>465</v>
      </c>
      <c r="E193" s="118" t="s">
        <v>295</v>
      </c>
      <c r="F193" s="117">
        <v>18.600000000000001</v>
      </c>
      <c r="G193" s="119">
        <v>112000</v>
      </c>
    </row>
    <row r="194" spans="1:7" ht="14.5">
      <c r="A194" s="116">
        <v>45717</v>
      </c>
      <c r="B194" s="118" t="s">
        <v>282</v>
      </c>
      <c r="C194" s="118" t="s">
        <v>272</v>
      </c>
      <c r="D194" s="117" t="s">
        <v>462</v>
      </c>
      <c r="E194" s="118" t="s">
        <v>473</v>
      </c>
      <c r="F194" s="117">
        <v>19.5</v>
      </c>
      <c r="G194" s="119">
        <v>81500</v>
      </c>
    </row>
    <row r="195" spans="1:7" ht="29">
      <c r="A195" s="116">
        <v>45717</v>
      </c>
      <c r="B195" s="118" t="s">
        <v>323</v>
      </c>
      <c r="C195" s="118" t="s">
        <v>324</v>
      </c>
      <c r="D195" s="117" t="s">
        <v>465</v>
      </c>
      <c r="E195" s="118" t="s">
        <v>474</v>
      </c>
      <c r="F195" s="117">
        <v>25.3</v>
      </c>
      <c r="G195" s="119">
        <v>182500</v>
      </c>
    </row>
    <row r="196" spans="1:7" ht="14.5">
      <c r="A196" s="116">
        <v>45717</v>
      </c>
      <c r="B196" s="118" t="s">
        <v>403</v>
      </c>
      <c r="C196" s="118" t="s">
        <v>309</v>
      </c>
      <c r="D196" s="117" t="s">
        <v>465</v>
      </c>
      <c r="E196" s="118" t="s">
        <v>475</v>
      </c>
      <c r="F196" s="117">
        <v>20.8</v>
      </c>
      <c r="G196" s="119">
        <v>139000</v>
      </c>
    </row>
    <row r="197" spans="1:7" ht="14.5">
      <c r="A197" s="116">
        <v>45717</v>
      </c>
      <c r="B197" s="118" t="s">
        <v>476</v>
      </c>
      <c r="C197" s="118" t="s">
        <v>272</v>
      </c>
      <c r="D197" s="117" t="s">
        <v>462</v>
      </c>
      <c r="E197" s="118" t="s">
        <v>477</v>
      </c>
      <c r="F197" s="117">
        <v>23.4</v>
      </c>
      <c r="G197" s="119">
        <v>94000</v>
      </c>
    </row>
    <row r="198" spans="1:7" ht="14.5">
      <c r="A198" s="116">
        <v>45717</v>
      </c>
      <c r="B198" s="118" t="s">
        <v>403</v>
      </c>
      <c r="C198" s="118" t="s">
        <v>309</v>
      </c>
      <c r="D198" s="117" t="s">
        <v>478</v>
      </c>
      <c r="E198" s="118" t="s">
        <v>479</v>
      </c>
      <c r="F198" s="117">
        <v>17.7</v>
      </c>
      <c r="G198" s="119">
        <v>132500</v>
      </c>
    </row>
    <row r="199" spans="1:7" ht="29">
      <c r="A199" s="116">
        <v>45717</v>
      </c>
      <c r="B199" s="118" t="s">
        <v>480</v>
      </c>
      <c r="C199" s="118" t="s">
        <v>481</v>
      </c>
      <c r="D199" s="117" t="s">
        <v>462</v>
      </c>
      <c r="E199" s="118" t="s">
        <v>482</v>
      </c>
      <c r="F199" s="117">
        <v>28.3</v>
      </c>
      <c r="G199" s="119">
        <v>124500</v>
      </c>
    </row>
    <row r="200" spans="1:7" ht="14.5">
      <c r="A200" s="116">
        <v>45717</v>
      </c>
      <c r="B200" s="118" t="s">
        <v>483</v>
      </c>
      <c r="C200" s="118" t="s">
        <v>309</v>
      </c>
      <c r="D200" s="117" t="s">
        <v>462</v>
      </c>
      <c r="E200" s="118" t="s">
        <v>484</v>
      </c>
      <c r="F200" s="117">
        <v>37.6</v>
      </c>
      <c r="G200" s="119">
        <v>174000</v>
      </c>
    </row>
    <row r="201" spans="1:7" ht="14.5">
      <c r="A201" s="116">
        <v>45717</v>
      </c>
      <c r="B201" s="118" t="s">
        <v>298</v>
      </c>
      <c r="C201" s="118" t="s">
        <v>277</v>
      </c>
      <c r="D201" s="117" t="s">
        <v>459</v>
      </c>
      <c r="E201" s="118" t="s">
        <v>485</v>
      </c>
      <c r="F201" s="117">
        <v>16.8</v>
      </c>
      <c r="G201" s="119">
        <v>99500</v>
      </c>
    </row>
    <row r="202" spans="1:7" ht="14.5">
      <c r="A202" s="116">
        <v>45717</v>
      </c>
      <c r="B202" s="118" t="s">
        <v>298</v>
      </c>
      <c r="C202" s="118" t="s">
        <v>277</v>
      </c>
      <c r="D202" s="117" t="s">
        <v>465</v>
      </c>
      <c r="E202" s="118" t="s">
        <v>486</v>
      </c>
      <c r="F202" s="117">
        <v>5.2</v>
      </c>
      <c r="G202" s="119">
        <v>46500</v>
      </c>
    </row>
    <row r="203" spans="1:7" ht="14.5">
      <c r="A203" s="116">
        <v>45717</v>
      </c>
      <c r="B203" s="118" t="s">
        <v>298</v>
      </c>
      <c r="C203" s="118" t="s">
        <v>277</v>
      </c>
      <c r="D203" s="117" t="s">
        <v>465</v>
      </c>
      <c r="E203" s="118" t="s">
        <v>487</v>
      </c>
      <c r="F203" s="117">
        <v>17.600000000000001</v>
      </c>
      <c r="G203" s="119">
        <v>120500</v>
      </c>
    </row>
    <row r="204" spans="1:7" ht="14.5">
      <c r="A204" s="116">
        <v>45717</v>
      </c>
      <c r="B204" s="118" t="s">
        <v>280</v>
      </c>
      <c r="C204" s="118" t="s">
        <v>277</v>
      </c>
      <c r="D204" s="117" t="s">
        <v>465</v>
      </c>
      <c r="E204" s="118" t="s">
        <v>295</v>
      </c>
      <c r="F204" s="117">
        <v>20.100000000000001</v>
      </c>
      <c r="G204" s="119">
        <v>111000</v>
      </c>
    </row>
    <row r="205" spans="1:7" ht="14.5">
      <c r="A205" s="116">
        <v>45717</v>
      </c>
      <c r="B205" s="118" t="s">
        <v>298</v>
      </c>
      <c r="C205" s="118" t="s">
        <v>277</v>
      </c>
      <c r="D205" s="117" t="s">
        <v>459</v>
      </c>
      <c r="E205" s="118" t="s">
        <v>488</v>
      </c>
      <c r="F205" s="117">
        <v>20.8</v>
      </c>
      <c r="G205" s="119">
        <v>122500</v>
      </c>
    </row>
    <row r="206" spans="1:7" ht="29">
      <c r="A206" s="116">
        <v>45717</v>
      </c>
      <c r="B206" s="118" t="s">
        <v>489</v>
      </c>
      <c r="C206" s="118" t="s">
        <v>293</v>
      </c>
      <c r="D206" s="117" t="s">
        <v>462</v>
      </c>
      <c r="E206" s="118" t="s">
        <v>490</v>
      </c>
      <c r="F206" s="117">
        <v>13.1</v>
      </c>
      <c r="G206" s="119">
        <v>61500</v>
      </c>
    </row>
    <row r="207" spans="1:7" ht="14.5">
      <c r="A207" s="116">
        <v>45717</v>
      </c>
      <c r="B207" s="118" t="s">
        <v>280</v>
      </c>
      <c r="C207" s="118" t="s">
        <v>277</v>
      </c>
      <c r="D207" s="117" t="s">
        <v>465</v>
      </c>
      <c r="E207" s="118" t="s">
        <v>295</v>
      </c>
      <c r="F207" s="117">
        <v>4.5999999999999996</v>
      </c>
      <c r="G207" s="119">
        <v>40500</v>
      </c>
    </row>
    <row r="208" spans="1:7" ht="29">
      <c r="A208" s="116">
        <v>45717</v>
      </c>
      <c r="B208" s="118" t="s">
        <v>480</v>
      </c>
      <c r="C208" s="118" t="s">
        <v>481</v>
      </c>
      <c r="D208" s="117" t="s">
        <v>273</v>
      </c>
      <c r="E208" s="118" t="s">
        <v>491</v>
      </c>
      <c r="F208" s="117">
        <v>1</v>
      </c>
      <c r="G208" s="119">
        <v>37000</v>
      </c>
    </row>
    <row r="209" spans="1:7" ht="14.5">
      <c r="A209" s="116">
        <v>45717</v>
      </c>
      <c r="B209" s="118" t="s">
        <v>280</v>
      </c>
      <c r="C209" s="118" t="s">
        <v>277</v>
      </c>
      <c r="D209" s="117" t="s">
        <v>465</v>
      </c>
      <c r="E209" s="118" t="s">
        <v>295</v>
      </c>
      <c r="F209" s="117">
        <v>16.7</v>
      </c>
      <c r="G209" s="119">
        <v>113000</v>
      </c>
    </row>
    <row r="210" spans="1:7" ht="29">
      <c r="A210" s="116">
        <v>45717</v>
      </c>
      <c r="B210" s="118" t="s">
        <v>489</v>
      </c>
      <c r="C210" s="118" t="s">
        <v>293</v>
      </c>
      <c r="D210" s="117" t="s">
        <v>287</v>
      </c>
      <c r="E210" s="118" t="s">
        <v>492</v>
      </c>
      <c r="F210" s="117">
        <v>8.1</v>
      </c>
      <c r="G210" s="119">
        <v>52000</v>
      </c>
    </row>
    <row r="211" spans="1:7" ht="29">
      <c r="A211" s="116">
        <v>45717</v>
      </c>
      <c r="B211" s="118" t="s">
        <v>480</v>
      </c>
      <c r="C211" s="118" t="s">
        <v>481</v>
      </c>
      <c r="D211" s="117" t="s">
        <v>273</v>
      </c>
      <c r="E211" s="118" t="s">
        <v>493</v>
      </c>
      <c r="F211" s="117">
        <v>42.9</v>
      </c>
      <c r="G211" s="119">
        <v>312500</v>
      </c>
    </row>
    <row r="212" spans="1:7" ht="29">
      <c r="A212" s="116">
        <v>45717</v>
      </c>
      <c r="B212" s="118" t="s">
        <v>480</v>
      </c>
      <c r="C212" s="118" t="s">
        <v>481</v>
      </c>
      <c r="D212" s="117" t="s">
        <v>287</v>
      </c>
      <c r="E212" s="118" t="s">
        <v>491</v>
      </c>
      <c r="F212" s="117">
        <v>13.4</v>
      </c>
      <c r="G212" s="119">
        <v>80000</v>
      </c>
    </row>
    <row r="213" spans="1:7" ht="29">
      <c r="A213" s="116">
        <v>45717</v>
      </c>
      <c r="B213" s="118" t="s">
        <v>480</v>
      </c>
      <c r="C213" s="118" t="s">
        <v>481</v>
      </c>
      <c r="D213" s="117" t="s">
        <v>287</v>
      </c>
      <c r="E213" s="118" t="s">
        <v>491</v>
      </c>
      <c r="F213" s="117">
        <v>9</v>
      </c>
      <c r="G213" s="119">
        <v>61000</v>
      </c>
    </row>
    <row r="214" spans="1:7" ht="29">
      <c r="A214" s="116">
        <v>45717</v>
      </c>
      <c r="B214" s="118" t="s">
        <v>480</v>
      </c>
      <c r="C214" s="118" t="s">
        <v>481</v>
      </c>
      <c r="D214" s="117" t="s">
        <v>462</v>
      </c>
      <c r="E214" s="118" t="s">
        <v>491</v>
      </c>
      <c r="F214" s="117">
        <v>38</v>
      </c>
      <c r="G214" s="119">
        <v>162000</v>
      </c>
    </row>
    <row r="215" spans="1:7" ht="14.5">
      <c r="A215" s="116">
        <v>45717</v>
      </c>
      <c r="B215" s="118" t="s">
        <v>483</v>
      </c>
      <c r="C215" s="118" t="s">
        <v>309</v>
      </c>
      <c r="D215" s="117" t="s">
        <v>465</v>
      </c>
      <c r="E215" s="118" t="s">
        <v>494</v>
      </c>
      <c r="F215" s="117">
        <v>29.9</v>
      </c>
      <c r="G215" s="119">
        <v>182000</v>
      </c>
    </row>
    <row r="216" spans="1:7" ht="14.5">
      <c r="A216" s="116">
        <v>45717</v>
      </c>
      <c r="B216" s="118" t="s">
        <v>280</v>
      </c>
      <c r="C216" s="118" t="s">
        <v>277</v>
      </c>
      <c r="D216" s="117" t="s">
        <v>465</v>
      </c>
      <c r="E216" s="118" t="s">
        <v>395</v>
      </c>
      <c r="F216" s="117">
        <v>16</v>
      </c>
      <c r="G216" s="119">
        <v>99000</v>
      </c>
    </row>
    <row r="217" spans="1:7" ht="14.5">
      <c r="A217" s="116">
        <v>45717</v>
      </c>
      <c r="B217" s="118" t="s">
        <v>280</v>
      </c>
      <c r="C217" s="118" t="s">
        <v>277</v>
      </c>
      <c r="D217" s="117" t="s">
        <v>465</v>
      </c>
      <c r="E217" s="118" t="s">
        <v>395</v>
      </c>
      <c r="F217" s="117">
        <v>16.399999999999999</v>
      </c>
      <c r="G217" s="119">
        <v>102500</v>
      </c>
    </row>
    <row r="218" spans="1:7" ht="14.5">
      <c r="A218" s="116">
        <v>45717</v>
      </c>
      <c r="B218" s="118" t="s">
        <v>298</v>
      </c>
      <c r="C218" s="118" t="s">
        <v>277</v>
      </c>
      <c r="D218" s="117" t="s">
        <v>465</v>
      </c>
      <c r="E218" s="118" t="s">
        <v>365</v>
      </c>
      <c r="F218" s="117">
        <v>16.8</v>
      </c>
      <c r="G218" s="119">
        <v>107500</v>
      </c>
    </row>
    <row r="219" spans="1:7" ht="14.5">
      <c r="A219" s="116">
        <v>45717</v>
      </c>
      <c r="B219" s="118" t="s">
        <v>280</v>
      </c>
      <c r="C219" s="118" t="s">
        <v>277</v>
      </c>
      <c r="D219" s="117" t="s">
        <v>465</v>
      </c>
      <c r="E219" s="118" t="s">
        <v>352</v>
      </c>
      <c r="F219" s="117">
        <v>7.9</v>
      </c>
      <c r="G219" s="119">
        <v>62000</v>
      </c>
    </row>
    <row r="220" spans="1:7" ht="14.5">
      <c r="A220" s="116">
        <v>45717</v>
      </c>
      <c r="B220" s="118" t="s">
        <v>298</v>
      </c>
      <c r="C220" s="118" t="s">
        <v>277</v>
      </c>
      <c r="D220" s="117" t="s">
        <v>462</v>
      </c>
      <c r="E220" s="118" t="s">
        <v>358</v>
      </c>
      <c r="F220" s="117">
        <v>15.7</v>
      </c>
      <c r="G220" s="119">
        <v>73500</v>
      </c>
    </row>
    <row r="221" spans="1:7" ht="14.5">
      <c r="A221" s="116">
        <v>45717</v>
      </c>
      <c r="B221" s="118" t="s">
        <v>276</v>
      </c>
      <c r="C221" s="118" t="s">
        <v>277</v>
      </c>
      <c r="D221" s="117" t="s">
        <v>465</v>
      </c>
      <c r="E221" s="118" t="s">
        <v>495</v>
      </c>
      <c r="F221" s="117">
        <v>16.7</v>
      </c>
      <c r="G221" s="119">
        <v>100499</v>
      </c>
    </row>
    <row r="222" spans="1:7" ht="14.5">
      <c r="A222" s="116">
        <v>45717</v>
      </c>
      <c r="B222" s="118" t="s">
        <v>331</v>
      </c>
      <c r="C222" s="118" t="s">
        <v>277</v>
      </c>
      <c r="D222" s="117" t="s">
        <v>462</v>
      </c>
      <c r="E222" s="118" t="s">
        <v>496</v>
      </c>
      <c r="F222" s="117">
        <v>15.1</v>
      </c>
      <c r="G222" s="119">
        <v>112000</v>
      </c>
    </row>
    <row r="223" spans="1:7" ht="14.5">
      <c r="A223" s="116">
        <v>45717</v>
      </c>
      <c r="B223" s="118" t="s">
        <v>456</v>
      </c>
      <c r="C223" s="118" t="s">
        <v>293</v>
      </c>
      <c r="D223" s="117" t="s">
        <v>497</v>
      </c>
      <c r="E223" s="118" t="s">
        <v>498</v>
      </c>
      <c r="F223" s="117">
        <v>14.5</v>
      </c>
      <c r="G223" s="119">
        <v>50000</v>
      </c>
    </row>
    <row r="224" spans="1:7" ht="14.5">
      <c r="A224" s="116">
        <v>45717</v>
      </c>
      <c r="B224" s="118" t="s">
        <v>456</v>
      </c>
      <c r="C224" s="118" t="s">
        <v>293</v>
      </c>
      <c r="D224" s="117" t="s">
        <v>497</v>
      </c>
      <c r="E224" s="118" t="s">
        <v>499</v>
      </c>
      <c r="F224" s="117">
        <v>16</v>
      </c>
      <c r="G224" s="119">
        <v>55000</v>
      </c>
    </row>
    <row r="225" spans="1:7" ht="14.5">
      <c r="A225" s="116">
        <v>45717</v>
      </c>
      <c r="B225" s="118" t="s">
        <v>331</v>
      </c>
      <c r="C225" s="118" t="s">
        <v>277</v>
      </c>
      <c r="D225" s="117" t="s">
        <v>462</v>
      </c>
      <c r="E225" s="118" t="s">
        <v>500</v>
      </c>
      <c r="F225" s="117">
        <v>9.4</v>
      </c>
      <c r="G225" s="119">
        <v>55000</v>
      </c>
    </row>
    <row r="226" spans="1:7" ht="14.5">
      <c r="A226" s="116">
        <v>45717</v>
      </c>
      <c r="B226" s="118" t="s">
        <v>476</v>
      </c>
      <c r="C226" s="118" t="s">
        <v>272</v>
      </c>
      <c r="D226" s="117" t="s">
        <v>459</v>
      </c>
      <c r="E226" s="118" t="s">
        <v>501</v>
      </c>
      <c r="F226" s="117">
        <v>9.4</v>
      </c>
      <c r="G226" s="119">
        <v>70500</v>
      </c>
    </row>
    <row r="227" spans="1:7" ht="14.5">
      <c r="A227" s="116">
        <v>45717</v>
      </c>
      <c r="B227" s="118" t="s">
        <v>432</v>
      </c>
      <c r="C227" s="118" t="s">
        <v>433</v>
      </c>
      <c r="D227" s="117" t="s">
        <v>465</v>
      </c>
      <c r="E227" s="118" t="s">
        <v>434</v>
      </c>
      <c r="F227" s="117">
        <v>19.7</v>
      </c>
      <c r="G227" s="119">
        <v>133500</v>
      </c>
    </row>
    <row r="228" spans="1:7" ht="14.5">
      <c r="A228" s="116">
        <v>45717</v>
      </c>
      <c r="B228" s="118" t="s">
        <v>298</v>
      </c>
      <c r="C228" s="118" t="s">
        <v>277</v>
      </c>
      <c r="D228" s="117" t="s">
        <v>465</v>
      </c>
      <c r="E228" s="118" t="s">
        <v>502</v>
      </c>
      <c r="F228" s="117">
        <v>16.8</v>
      </c>
      <c r="G228" s="119">
        <v>113500</v>
      </c>
    </row>
    <row r="229" spans="1:7" ht="14.5">
      <c r="A229" s="116">
        <v>45717</v>
      </c>
      <c r="B229" s="118" t="s">
        <v>298</v>
      </c>
      <c r="C229" s="118" t="s">
        <v>277</v>
      </c>
      <c r="D229" s="117" t="s">
        <v>465</v>
      </c>
      <c r="E229" s="118" t="s">
        <v>503</v>
      </c>
      <c r="F229" s="117">
        <v>26.4</v>
      </c>
      <c r="G229" s="119">
        <v>157000</v>
      </c>
    </row>
    <row r="230" spans="1:7" ht="14.5">
      <c r="A230" s="116">
        <v>45717</v>
      </c>
      <c r="B230" s="118" t="s">
        <v>298</v>
      </c>
      <c r="C230" s="118" t="s">
        <v>277</v>
      </c>
      <c r="D230" s="117" t="s">
        <v>465</v>
      </c>
      <c r="E230" s="118" t="s">
        <v>358</v>
      </c>
      <c r="F230" s="117">
        <v>20</v>
      </c>
      <c r="G230" s="119">
        <v>138500</v>
      </c>
    </row>
    <row r="231" spans="1:7" ht="14.5">
      <c r="A231" s="116">
        <v>45717</v>
      </c>
      <c r="B231" s="118" t="s">
        <v>432</v>
      </c>
      <c r="C231" s="118" t="s">
        <v>433</v>
      </c>
      <c r="D231" s="117" t="s">
        <v>462</v>
      </c>
      <c r="E231" s="118" t="s">
        <v>434</v>
      </c>
      <c r="F231" s="117">
        <v>19.3</v>
      </c>
      <c r="G231" s="119">
        <v>168500</v>
      </c>
    </row>
    <row r="232" spans="1:7" ht="29">
      <c r="A232" s="116">
        <v>45717</v>
      </c>
      <c r="B232" s="118" t="s">
        <v>489</v>
      </c>
      <c r="C232" s="118" t="s">
        <v>293</v>
      </c>
      <c r="D232" s="117" t="s">
        <v>287</v>
      </c>
      <c r="E232" s="118" t="s">
        <v>504</v>
      </c>
      <c r="F232" s="117">
        <v>7.9</v>
      </c>
      <c r="G232" s="119">
        <v>52000</v>
      </c>
    </row>
    <row r="233" spans="1:7" ht="14.5">
      <c r="A233" s="116">
        <v>45717</v>
      </c>
      <c r="B233" s="118" t="s">
        <v>282</v>
      </c>
      <c r="C233" s="118" t="s">
        <v>272</v>
      </c>
      <c r="D233" s="117" t="s">
        <v>462</v>
      </c>
      <c r="E233" s="118" t="s">
        <v>505</v>
      </c>
      <c r="F233" s="117">
        <v>17.5</v>
      </c>
      <c r="G233" s="119">
        <v>94500</v>
      </c>
    </row>
    <row r="234" spans="1:7" ht="14.5">
      <c r="A234" s="116">
        <v>45717</v>
      </c>
      <c r="B234" s="118" t="s">
        <v>506</v>
      </c>
      <c r="C234" s="118" t="s">
        <v>507</v>
      </c>
      <c r="D234" s="117" t="s">
        <v>462</v>
      </c>
      <c r="E234" s="118" t="s">
        <v>508</v>
      </c>
      <c r="F234" s="117">
        <v>17.5</v>
      </c>
      <c r="G234" s="119">
        <v>93500</v>
      </c>
    </row>
    <row r="235" spans="1:7" ht="14.5">
      <c r="A235" s="116">
        <v>45717</v>
      </c>
      <c r="B235" s="118" t="s">
        <v>506</v>
      </c>
      <c r="C235" s="118" t="s">
        <v>507</v>
      </c>
      <c r="D235" s="117" t="s">
        <v>462</v>
      </c>
      <c r="E235" s="118" t="s">
        <v>509</v>
      </c>
      <c r="F235" s="117">
        <v>17.2</v>
      </c>
      <c r="G235" s="119">
        <v>71500</v>
      </c>
    </row>
    <row r="236" spans="1:7" ht="29">
      <c r="A236" s="116">
        <v>45717</v>
      </c>
      <c r="B236" s="118" t="s">
        <v>510</v>
      </c>
      <c r="C236" s="118" t="s">
        <v>433</v>
      </c>
      <c r="D236" s="117" t="s">
        <v>462</v>
      </c>
      <c r="E236" s="118" t="s">
        <v>508</v>
      </c>
      <c r="F236" s="117">
        <v>17.3</v>
      </c>
      <c r="G236" s="119">
        <v>94500</v>
      </c>
    </row>
    <row r="237" spans="1:7" ht="14.5">
      <c r="A237" s="116">
        <v>45717</v>
      </c>
      <c r="B237" s="118" t="s">
        <v>371</v>
      </c>
      <c r="C237" s="118" t="s">
        <v>277</v>
      </c>
      <c r="D237" s="117" t="s">
        <v>459</v>
      </c>
      <c r="E237" s="118" t="s">
        <v>511</v>
      </c>
      <c r="F237" s="117">
        <v>17.2</v>
      </c>
      <c r="G237" s="119">
        <v>122000</v>
      </c>
    </row>
    <row r="238" spans="1:7" ht="14.5">
      <c r="A238" s="116">
        <v>45717</v>
      </c>
      <c r="B238" s="118" t="s">
        <v>312</v>
      </c>
      <c r="C238" s="118" t="s">
        <v>277</v>
      </c>
      <c r="D238" s="117" t="s">
        <v>465</v>
      </c>
      <c r="E238" s="118" t="s">
        <v>275</v>
      </c>
      <c r="F238" s="117">
        <v>19.600000000000001</v>
      </c>
      <c r="G238" s="119">
        <v>116500</v>
      </c>
    </row>
    <row r="239" spans="1:7" ht="14.5">
      <c r="A239" s="116">
        <v>45717</v>
      </c>
      <c r="B239" s="118" t="s">
        <v>312</v>
      </c>
      <c r="C239" s="118" t="s">
        <v>277</v>
      </c>
      <c r="D239" s="117" t="s">
        <v>465</v>
      </c>
      <c r="E239" s="118" t="s">
        <v>512</v>
      </c>
      <c r="F239" s="117">
        <v>19.7</v>
      </c>
      <c r="G239" s="119">
        <v>117000</v>
      </c>
    </row>
    <row r="240" spans="1:7" ht="29">
      <c r="A240" s="116">
        <v>45717</v>
      </c>
      <c r="B240" s="118" t="s">
        <v>489</v>
      </c>
      <c r="C240" s="118" t="s">
        <v>293</v>
      </c>
      <c r="D240" s="117" t="s">
        <v>465</v>
      </c>
      <c r="E240" s="118" t="s">
        <v>513</v>
      </c>
      <c r="F240" s="117">
        <v>17.399999999999999</v>
      </c>
      <c r="G240" s="119">
        <v>111000</v>
      </c>
    </row>
    <row r="241" spans="1:7" ht="14.5">
      <c r="A241" s="116">
        <v>45717</v>
      </c>
      <c r="B241" s="118" t="s">
        <v>280</v>
      </c>
      <c r="C241" s="118" t="s">
        <v>277</v>
      </c>
      <c r="D241" s="117" t="s">
        <v>465</v>
      </c>
      <c r="E241" s="118" t="s">
        <v>395</v>
      </c>
      <c r="F241" s="117">
        <v>16</v>
      </c>
      <c r="G241" s="119">
        <v>99000</v>
      </c>
    </row>
    <row r="242" spans="1:7" ht="29">
      <c r="A242" s="116">
        <v>45717</v>
      </c>
      <c r="B242" s="118" t="s">
        <v>276</v>
      </c>
      <c r="C242" s="118" t="s">
        <v>277</v>
      </c>
      <c r="D242" s="117" t="s">
        <v>462</v>
      </c>
      <c r="E242" s="118" t="s">
        <v>514</v>
      </c>
      <c r="F242" s="117">
        <v>16.5</v>
      </c>
      <c r="G242" s="119">
        <v>76500</v>
      </c>
    </row>
    <row r="243" spans="1:7" ht="14.5">
      <c r="A243" s="116">
        <v>45717</v>
      </c>
      <c r="B243" s="118" t="s">
        <v>280</v>
      </c>
      <c r="C243" s="118" t="s">
        <v>277</v>
      </c>
      <c r="D243" s="117" t="s">
        <v>465</v>
      </c>
      <c r="E243" s="118" t="s">
        <v>515</v>
      </c>
      <c r="F243" s="117">
        <v>16.399999999999999</v>
      </c>
      <c r="G243" s="119">
        <v>101000</v>
      </c>
    </row>
    <row r="244" spans="1:7" ht="14.5">
      <c r="A244" s="116">
        <v>45717</v>
      </c>
      <c r="B244" s="118" t="s">
        <v>312</v>
      </c>
      <c r="C244" s="118" t="s">
        <v>277</v>
      </c>
      <c r="D244" s="117" t="s">
        <v>462</v>
      </c>
      <c r="E244" s="118" t="s">
        <v>349</v>
      </c>
      <c r="F244" s="117">
        <v>1.2</v>
      </c>
      <c r="G244" s="119">
        <v>28000</v>
      </c>
    </row>
    <row r="245" spans="1:7" ht="29">
      <c r="A245" s="116">
        <v>45717</v>
      </c>
      <c r="B245" s="118" t="s">
        <v>276</v>
      </c>
      <c r="C245" s="118" t="s">
        <v>277</v>
      </c>
      <c r="D245" s="117" t="s">
        <v>478</v>
      </c>
      <c r="E245" s="118" t="s">
        <v>516</v>
      </c>
      <c r="F245" s="117">
        <v>10.9</v>
      </c>
      <c r="G245" s="119">
        <v>84500</v>
      </c>
    </row>
    <row r="246" spans="1:7" ht="14.5">
      <c r="A246" s="116">
        <v>45717</v>
      </c>
      <c r="B246" s="118" t="s">
        <v>312</v>
      </c>
      <c r="C246" s="118" t="s">
        <v>277</v>
      </c>
      <c r="D246" s="117" t="s">
        <v>465</v>
      </c>
      <c r="E246" s="118" t="s">
        <v>349</v>
      </c>
      <c r="F246" s="117">
        <v>15.2</v>
      </c>
      <c r="G246" s="119">
        <v>95000</v>
      </c>
    </row>
    <row r="247" spans="1:7" ht="14.5">
      <c r="A247" s="116">
        <v>45717</v>
      </c>
      <c r="B247" s="118" t="s">
        <v>276</v>
      </c>
      <c r="C247" s="118" t="s">
        <v>277</v>
      </c>
      <c r="D247" s="117" t="s">
        <v>478</v>
      </c>
      <c r="E247" s="118" t="s">
        <v>517</v>
      </c>
      <c r="F247" s="117">
        <v>7</v>
      </c>
      <c r="G247" s="119">
        <v>81000</v>
      </c>
    </row>
    <row r="248" spans="1:7" ht="14.5">
      <c r="A248" s="116">
        <v>45717</v>
      </c>
      <c r="B248" s="118" t="s">
        <v>276</v>
      </c>
      <c r="C248" s="118" t="s">
        <v>277</v>
      </c>
      <c r="D248" s="117" t="s">
        <v>465</v>
      </c>
      <c r="E248" s="118" t="s">
        <v>518</v>
      </c>
      <c r="F248" s="117">
        <v>21.1</v>
      </c>
      <c r="G248" s="119">
        <v>138000</v>
      </c>
    </row>
    <row r="249" spans="1:7" ht="14.5">
      <c r="A249" s="116">
        <v>45717</v>
      </c>
      <c r="B249" s="118" t="s">
        <v>280</v>
      </c>
      <c r="C249" s="118" t="s">
        <v>277</v>
      </c>
      <c r="D249" s="117" t="s">
        <v>465</v>
      </c>
      <c r="E249" s="118" t="s">
        <v>519</v>
      </c>
      <c r="F249" s="117">
        <v>21.7</v>
      </c>
      <c r="G249" s="119">
        <v>215000</v>
      </c>
    </row>
    <row r="250" spans="1:7" ht="14.5">
      <c r="A250" s="116">
        <v>45717</v>
      </c>
      <c r="B250" s="118" t="s">
        <v>520</v>
      </c>
      <c r="C250" s="118" t="s">
        <v>272</v>
      </c>
      <c r="D250" s="117" t="s">
        <v>462</v>
      </c>
      <c r="E250" s="118" t="s">
        <v>521</v>
      </c>
      <c r="F250" s="117">
        <v>19.100000000000001</v>
      </c>
      <c r="G250" s="119">
        <v>98000</v>
      </c>
    </row>
    <row r="251" spans="1:7" ht="14.5">
      <c r="A251" s="116">
        <v>45717</v>
      </c>
      <c r="B251" s="118" t="s">
        <v>280</v>
      </c>
      <c r="C251" s="118" t="s">
        <v>277</v>
      </c>
      <c r="D251" s="117" t="s">
        <v>465</v>
      </c>
      <c r="E251" s="118" t="s">
        <v>395</v>
      </c>
      <c r="F251" s="117">
        <v>17.399999999999999</v>
      </c>
      <c r="G251" s="119">
        <v>106500</v>
      </c>
    </row>
    <row r="252" spans="1:7" ht="14.5">
      <c r="A252" s="116">
        <v>45717</v>
      </c>
      <c r="B252" s="118" t="s">
        <v>298</v>
      </c>
      <c r="C252" s="118" t="s">
        <v>277</v>
      </c>
      <c r="D252" s="117" t="s">
        <v>459</v>
      </c>
      <c r="E252" s="118" t="s">
        <v>522</v>
      </c>
      <c r="F252" s="117">
        <v>17.399999999999999</v>
      </c>
      <c r="G252" s="119">
        <v>91000</v>
      </c>
    </row>
    <row r="253" spans="1:7" ht="14.5">
      <c r="A253" s="116">
        <v>45717</v>
      </c>
      <c r="B253" s="118" t="s">
        <v>476</v>
      </c>
      <c r="C253" s="118" t="s">
        <v>272</v>
      </c>
      <c r="D253" s="117" t="s">
        <v>459</v>
      </c>
      <c r="E253" s="118" t="s">
        <v>522</v>
      </c>
      <c r="F253" s="117">
        <v>17.399999999999999</v>
      </c>
      <c r="G253" s="119">
        <v>133000</v>
      </c>
    </row>
    <row r="254" spans="1:7" ht="14.5">
      <c r="A254" s="116">
        <v>45717</v>
      </c>
      <c r="B254" s="118" t="s">
        <v>523</v>
      </c>
      <c r="C254" s="118" t="s">
        <v>272</v>
      </c>
      <c r="D254" s="117" t="s">
        <v>462</v>
      </c>
      <c r="E254" s="118" t="s">
        <v>524</v>
      </c>
      <c r="F254" s="117">
        <v>17.399999999999999</v>
      </c>
      <c r="G254" s="119">
        <v>115500</v>
      </c>
    </row>
    <row r="255" spans="1:7" ht="14.5">
      <c r="A255" s="116">
        <v>45717</v>
      </c>
      <c r="B255" s="118" t="s">
        <v>520</v>
      </c>
      <c r="C255" s="118" t="s">
        <v>272</v>
      </c>
      <c r="D255" s="117" t="s">
        <v>462</v>
      </c>
      <c r="E255" s="118" t="s">
        <v>525</v>
      </c>
      <c r="F255" s="117">
        <v>8.4</v>
      </c>
      <c r="G255" s="119">
        <v>132500</v>
      </c>
    </row>
    <row r="256" spans="1:7" ht="14.5">
      <c r="A256" s="116">
        <v>45717</v>
      </c>
      <c r="B256" s="118" t="s">
        <v>523</v>
      </c>
      <c r="C256" s="118" t="s">
        <v>272</v>
      </c>
      <c r="D256" s="117" t="s">
        <v>465</v>
      </c>
      <c r="E256" s="118" t="s">
        <v>526</v>
      </c>
      <c r="F256" s="117">
        <v>15.8</v>
      </c>
      <c r="G256" s="119">
        <v>175000</v>
      </c>
    </row>
    <row r="257" spans="1:7" ht="14.5">
      <c r="A257" s="116">
        <v>45717</v>
      </c>
      <c r="B257" s="118" t="s">
        <v>476</v>
      </c>
      <c r="C257" s="118" t="s">
        <v>272</v>
      </c>
      <c r="D257" s="117" t="s">
        <v>465</v>
      </c>
      <c r="E257" s="118" t="s">
        <v>527</v>
      </c>
      <c r="F257" s="117">
        <v>15.7</v>
      </c>
      <c r="G257" s="119">
        <v>119000</v>
      </c>
    </row>
    <row r="258" spans="1:7" ht="14.5">
      <c r="A258" s="116">
        <v>45717</v>
      </c>
      <c r="B258" s="118" t="s">
        <v>331</v>
      </c>
      <c r="C258" s="118" t="s">
        <v>277</v>
      </c>
      <c r="D258" s="117" t="s">
        <v>478</v>
      </c>
      <c r="E258" s="118" t="s">
        <v>528</v>
      </c>
      <c r="F258" s="117">
        <v>15.8</v>
      </c>
      <c r="G258" s="119">
        <v>161500</v>
      </c>
    </row>
    <row r="259" spans="1:7" ht="14.5">
      <c r="A259" s="116">
        <v>45717</v>
      </c>
      <c r="B259" s="118" t="s">
        <v>371</v>
      </c>
      <c r="C259" s="118" t="s">
        <v>277</v>
      </c>
      <c r="D259" s="117" t="s">
        <v>465</v>
      </c>
      <c r="E259" s="118" t="s">
        <v>529</v>
      </c>
      <c r="F259" s="117">
        <v>10.6</v>
      </c>
      <c r="G259" s="119">
        <v>71000</v>
      </c>
    </row>
    <row r="260" spans="1:7" ht="14.5">
      <c r="A260" s="116">
        <v>45717</v>
      </c>
      <c r="B260" s="118" t="s">
        <v>340</v>
      </c>
      <c r="C260" s="118" t="s">
        <v>309</v>
      </c>
      <c r="D260" s="117" t="s">
        <v>462</v>
      </c>
      <c r="E260" s="118" t="s">
        <v>530</v>
      </c>
      <c r="F260" s="117">
        <v>54</v>
      </c>
      <c r="G260" s="119">
        <v>273500</v>
      </c>
    </row>
    <row r="261" spans="1:7" ht="14.5">
      <c r="A261" s="116">
        <v>45717</v>
      </c>
      <c r="B261" s="118" t="s">
        <v>280</v>
      </c>
      <c r="C261" s="118" t="s">
        <v>277</v>
      </c>
      <c r="D261" s="117" t="s">
        <v>465</v>
      </c>
      <c r="E261" s="118" t="s">
        <v>515</v>
      </c>
      <c r="F261" s="117">
        <v>13.9</v>
      </c>
      <c r="G261" s="119">
        <v>88000</v>
      </c>
    </row>
    <row r="262" spans="1:7" ht="14.5">
      <c r="A262" s="116">
        <v>45717</v>
      </c>
      <c r="B262" s="118" t="s">
        <v>531</v>
      </c>
      <c r="C262" s="118" t="s">
        <v>309</v>
      </c>
      <c r="D262" s="117" t="s">
        <v>462</v>
      </c>
      <c r="E262" s="118" t="s">
        <v>532</v>
      </c>
      <c r="F262" s="117">
        <v>54.9</v>
      </c>
      <c r="G262" s="119">
        <v>277000</v>
      </c>
    </row>
    <row r="263" spans="1:7" ht="14.5">
      <c r="A263" s="116">
        <v>45717</v>
      </c>
      <c r="B263" s="118" t="s">
        <v>276</v>
      </c>
      <c r="C263" s="118" t="s">
        <v>277</v>
      </c>
      <c r="D263" s="117" t="s">
        <v>465</v>
      </c>
      <c r="E263" s="118" t="s">
        <v>533</v>
      </c>
      <c r="F263" s="117">
        <v>16.7</v>
      </c>
      <c r="G263" s="119">
        <v>149499</v>
      </c>
    </row>
    <row r="264" spans="1:7" ht="14.5">
      <c r="A264" s="116">
        <v>45717</v>
      </c>
      <c r="B264" s="118" t="s">
        <v>312</v>
      </c>
      <c r="C264" s="118" t="s">
        <v>277</v>
      </c>
      <c r="D264" s="117" t="s">
        <v>465</v>
      </c>
      <c r="E264" s="118" t="s">
        <v>534</v>
      </c>
      <c r="F264" s="117">
        <v>9</v>
      </c>
      <c r="G264" s="119">
        <v>138000</v>
      </c>
    </row>
    <row r="265" spans="1:7" ht="14.5">
      <c r="A265" s="116">
        <v>45717</v>
      </c>
      <c r="B265" s="118" t="s">
        <v>312</v>
      </c>
      <c r="C265" s="118" t="s">
        <v>277</v>
      </c>
      <c r="D265" s="117" t="s">
        <v>465</v>
      </c>
      <c r="E265" s="118" t="s">
        <v>534</v>
      </c>
      <c r="F265" s="117">
        <v>16.5</v>
      </c>
      <c r="G265" s="119">
        <v>91000</v>
      </c>
    </row>
    <row r="266" spans="1:7" ht="14.5">
      <c r="A266" s="116">
        <v>45717</v>
      </c>
      <c r="B266" s="118" t="s">
        <v>276</v>
      </c>
      <c r="C266" s="118" t="s">
        <v>277</v>
      </c>
      <c r="D266" s="117" t="s">
        <v>478</v>
      </c>
      <c r="E266" s="118" t="s">
        <v>535</v>
      </c>
      <c r="F266" s="117">
        <v>20.8</v>
      </c>
      <c r="G266" s="119">
        <v>168000</v>
      </c>
    </row>
    <row r="267" spans="1:7" ht="14.5">
      <c r="A267" s="116">
        <v>45717</v>
      </c>
      <c r="B267" s="118" t="s">
        <v>280</v>
      </c>
      <c r="C267" s="118" t="s">
        <v>277</v>
      </c>
      <c r="D267" s="117" t="s">
        <v>465</v>
      </c>
      <c r="E267" s="118" t="s">
        <v>536</v>
      </c>
      <c r="F267" s="117">
        <v>19.899999999999999</v>
      </c>
      <c r="G267" s="119">
        <v>139000</v>
      </c>
    </row>
    <row r="268" spans="1:7" ht="14.5">
      <c r="A268" s="116">
        <v>45717</v>
      </c>
      <c r="B268" s="118" t="s">
        <v>403</v>
      </c>
      <c r="C268" s="118" t="s">
        <v>309</v>
      </c>
      <c r="D268" s="117" t="s">
        <v>478</v>
      </c>
      <c r="E268" s="118" t="s">
        <v>537</v>
      </c>
      <c r="F268" s="117">
        <v>19.600000000000001</v>
      </c>
      <c r="G268" s="119">
        <v>156500</v>
      </c>
    </row>
    <row r="269" spans="1:7" ht="14.5">
      <c r="A269" s="116">
        <v>45717</v>
      </c>
      <c r="B269" s="118" t="s">
        <v>312</v>
      </c>
      <c r="C269" s="118" t="s">
        <v>277</v>
      </c>
      <c r="D269" s="117" t="s">
        <v>465</v>
      </c>
      <c r="E269" s="118" t="s">
        <v>538</v>
      </c>
      <c r="F269" s="117">
        <v>19.2</v>
      </c>
      <c r="G269" s="119">
        <v>114500</v>
      </c>
    </row>
    <row r="270" spans="1:7" ht="14.5">
      <c r="A270" s="116">
        <v>45717</v>
      </c>
      <c r="B270" s="170" t="s">
        <v>403</v>
      </c>
      <c r="C270" s="170" t="s">
        <v>309</v>
      </c>
      <c r="D270" s="145" t="s">
        <v>478</v>
      </c>
      <c r="E270" s="170" t="s">
        <v>539</v>
      </c>
      <c r="F270" s="145">
        <v>19.5</v>
      </c>
      <c r="G270" s="171">
        <v>150500</v>
      </c>
    </row>
    <row r="271" spans="1:7" ht="14.5">
      <c r="A271" s="172">
        <v>45748</v>
      </c>
      <c r="B271" s="157" t="s">
        <v>298</v>
      </c>
      <c r="C271" s="173" t="s">
        <v>277</v>
      </c>
      <c r="D271" s="157" t="s">
        <v>465</v>
      </c>
      <c r="E271" s="173" t="s">
        <v>540</v>
      </c>
      <c r="F271" s="157">
        <v>16.8</v>
      </c>
      <c r="G271" s="119">
        <v>117500</v>
      </c>
    </row>
    <row r="272" spans="1:7" ht="14.5">
      <c r="A272" s="172">
        <v>45717</v>
      </c>
      <c r="B272" s="157" t="s">
        <v>298</v>
      </c>
      <c r="C272" s="173" t="s">
        <v>277</v>
      </c>
      <c r="D272" s="157" t="s">
        <v>465</v>
      </c>
      <c r="E272" s="173" t="s">
        <v>358</v>
      </c>
      <c r="F272" s="157">
        <v>15.7</v>
      </c>
      <c r="G272" s="119">
        <v>107000</v>
      </c>
    </row>
    <row r="273" spans="1:7" ht="14.5">
      <c r="A273" s="172">
        <v>45717</v>
      </c>
      <c r="B273" s="157" t="s">
        <v>298</v>
      </c>
      <c r="C273" s="173" t="s">
        <v>277</v>
      </c>
      <c r="D273" s="157" t="s">
        <v>465</v>
      </c>
      <c r="E273" s="173" t="s">
        <v>541</v>
      </c>
      <c r="F273" s="157">
        <v>19.5</v>
      </c>
      <c r="G273" s="119">
        <v>127000</v>
      </c>
    </row>
    <row r="274" spans="1:7" ht="14.5">
      <c r="A274" s="172">
        <v>45717</v>
      </c>
      <c r="B274" s="157" t="s">
        <v>298</v>
      </c>
      <c r="C274" s="173" t="s">
        <v>277</v>
      </c>
      <c r="D274" s="157" t="s">
        <v>465</v>
      </c>
      <c r="E274" s="173" t="s">
        <v>358</v>
      </c>
      <c r="F274" s="157">
        <v>19.3</v>
      </c>
      <c r="G274" s="119">
        <v>131500</v>
      </c>
    </row>
    <row r="275" spans="1:7" ht="14.5">
      <c r="A275" s="172">
        <v>45717</v>
      </c>
      <c r="B275" s="157" t="s">
        <v>312</v>
      </c>
      <c r="C275" s="173" t="s">
        <v>277</v>
      </c>
      <c r="D275" s="157" t="s">
        <v>465</v>
      </c>
      <c r="E275" s="173" t="s">
        <v>542</v>
      </c>
      <c r="F275" s="157">
        <v>19.5</v>
      </c>
      <c r="G275" s="119">
        <v>215000</v>
      </c>
    </row>
    <row r="276" spans="1:7" ht="14.5">
      <c r="A276" s="172">
        <v>45717</v>
      </c>
      <c r="B276" s="157" t="s">
        <v>271</v>
      </c>
      <c r="C276" s="173" t="s">
        <v>272</v>
      </c>
      <c r="D276" s="157" t="s">
        <v>465</v>
      </c>
      <c r="E276" s="173" t="s">
        <v>336</v>
      </c>
      <c r="F276" s="157">
        <v>27.7</v>
      </c>
      <c r="G276" s="119">
        <v>193500</v>
      </c>
    </row>
    <row r="277" spans="1:7" ht="14.5">
      <c r="A277" s="172">
        <v>45717</v>
      </c>
      <c r="B277" s="157" t="s">
        <v>276</v>
      </c>
      <c r="C277" s="173" t="s">
        <v>277</v>
      </c>
      <c r="D277" s="157" t="s">
        <v>478</v>
      </c>
      <c r="E277" s="173" t="s">
        <v>543</v>
      </c>
      <c r="F277" s="157">
        <v>2.5</v>
      </c>
      <c r="G277" s="119">
        <v>92999</v>
      </c>
    </row>
    <row r="278" spans="1:7" ht="14.5">
      <c r="A278" s="172">
        <v>45717</v>
      </c>
      <c r="B278" s="157" t="s">
        <v>276</v>
      </c>
      <c r="C278" s="173" t="s">
        <v>277</v>
      </c>
      <c r="D278" s="157" t="s">
        <v>478</v>
      </c>
      <c r="E278" s="173" t="s">
        <v>544</v>
      </c>
      <c r="F278" s="157">
        <v>3.1</v>
      </c>
      <c r="G278" s="119">
        <v>59000</v>
      </c>
    </row>
    <row r="279" spans="1:7" ht="14.5">
      <c r="A279" s="172">
        <v>45717</v>
      </c>
      <c r="B279" s="157" t="s">
        <v>271</v>
      </c>
      <c r="C279" s="173" t="s">
        <v>272</v>
      </c>
      <c r="D279" s="157" t="s">
        <v>478</v>
      </c>
      <c r="E279" s="173" t="s">
        <v>545</v>
      </c>
      <c r="F279" s="157">
        <v>23.7</v>
      </c>
      <c r="G279" s="119">
        <v>181000</v>
      </c>
    </row>
    <row r="280" spans="1:7" ht="29">
      <c r="A280" s="172">
        <v>45717</v>
      </c>
      <c r="B280" s="157" t="s">
        <v>323</v>
      </c>
      <c r="C280" s="173" t="s">
        <v>324</v>
      </c>
      <c r="D280" s="157" t="s">
        <v>462</v>
      </c>
      <c r="E280" s="173" t="s">
        <v>546</v>
      </c>
      <c r="F280" s="157">
        <v>20.100000000000001</v>
      </c>
      <c r="G280" s="119">
        <v>89500</v>
      </c>
    </row>
    <row r="281" spans="1:7" ht="29">
      <c r="A281" s="172">
        <v>45717</v>
      </c>
      <c r="B281" s="157" t="s">
        <v>547</v>
      </c>
      <c r="C281" s="173" t="s">
        <v>324</v>
      </c>
      <c r="D281" s="157" t="s">
        <v>497</v>
      </c>
      <c r="E281" s="173" t="s">
        <v>548</v>
      </c>
      <c r="F281" s="157">
        <v>19.2</v>
      </c>
      <c r="G281" s="119">
        <v>65500</v>
      </c>
    </row>
    <row r="282" spans="1:7" ht="14.5">
      <c r="A282" s="172">
        <v>45717</v>
      </c>
      <c r="B282" s="157" t="s">
        <v>280</v>
      </c>
      <c r="C282" s="173" t="s">
        <v>277</v>
      </c>
      <c r="D282" s="157" t="s">
        <v>465</v>
      </c>
      <c r="E282" s="173" t="s">
        <v>295</v>
      </c>
      <c r="F282" s="157">
        <v>19</v>
      </c>
      <c r="G282" s="119">
        <v>124000</v>
      </c>
    </row>
    <row r="283" spans="1:7" ht="14.5">
      <c r="A283" s="172">
        <v>45717</v>
      </c>
      <c r="B283" s="157" t="s">
        <v>298</v>
      </c>
      <c r="C283" s="173" t="s">
        <v>277</v>
      </c>
      <c r="D283" s="157" t="s">
        <v>465</v>
      </c>
      <c r="E283" s="173" t="s">
        <v>464</v>
      </c>
      <c r="F283" s="157">
        <v>16.8</v>
      </c>
      <c r="G283" s="119">
        <v>101500</v>
      </c>
    </row>
    <row r="284" spans="1:7" ht="14.5">
      <c r="A284" s="172">
        <v>45717</v>
      </c>
      <c r="B284" s="157" t="s">
        <v>280</v>
      </c>
      <c r="C284" s="173" t="s">
        <v>277</v>
      </c>
      <c r="D284" s="157" t="s">
        <v>465</v>
      </c>
      <c r="E284" s="173" t="s">
        <v>295</v>
      </c>
      <c r="F284" s="157">
        <v>18.8</v>
      </c>
      <c r="G284" s="119">
        <v>126000</v>
      </c>
    </row>
    <row r="285" spans="1:7" ht="14.5">
      <c r="A285" s="172">
        <v>45717</v>
      </c>
      <c r="B285" s="157" t="s">
        <v>298</v>
      </c>
      <c r="C285" s="173" t="s">
        <v>277</v>
      </c>
      <c r="D285" s="157" t="s">
        <v>478</v>
      </c>
      <c r="E285" s="173" t="s">
        <v>549</v>
      </c>
      <c r="F285" s="157">
        <v>8</v>
      </c>
      <c r="G285" s="119">
        <v>67500</v>
      </c>
    </row>
    <row r="286" spans="1:7" ht="14.5">
      <c r="A286" s="172">
        <v>45717</v>
      </c>
      <c r="B286" s="157" t="s">
        <v>308</v>
      </c>
      <c r="C286" s="173" t="s">
        <v>309</v>
      </c>
      <c r="D286" s="157" t="s">
        <v>462</v>
      </c>
      <c r="E286" s="173" t="s">
        <v>550</v>
      </c>
      <c r="F286" s="157">
        <v>14.9</v>
      </c>
      <c r="G286" s="119">
        <v>69000</v>
      </c>
    </row>
    <row r="287" spans="1:7" ht="14.5">
      <c r="A287" s="172">
        <v>45717</v>
      </c>
      <c r="B287" s="157" t="s">
        <v>308</v>
      </c>
      <c r="C287" s="173" t="s">
        <v>309</v>
      </c>
      <c r="D287" s="157" t="s">
        <v>462</v>
      </c>
      <c r="E287" s="173" t="s">
        <v>329</v>
      </c>
      <c r="F287" s="157">
        <v>14.1</v>
      </c>
      <c r="G287" s="119">
        <v>66000</v>
      </c>
    </row>
    <row r="288" spans="1:7" ht="29">
      <c r="A288" s="172">
        <v>45717</v>
      </c>
      <c r="B288" s="157" t="s">
        <v>323</v>
      </c>
      <c r="C288" s="173" t="s">
        <v>324</v>
      </c>
      <c r="D288" s="157" t="s">
        <v>462</v>
      </c>
      <c r="E288" s="173" t="s">
        <v>546</v>
      </c>
      <c r="F288" s="157">
        <v>25.5</v>
      </c>
      <c r="G288" s="119">
        <v>133000</v>
      </c>
    </row>
    <row r="289" spans="1:7" ht="14.5">
      <c r="A289" s="172">
        <v>45717</v>
      </c>
      <c r="B289" s="157" t="s">
        <v>285</v>
      </c>
      <c r="C289" s="173" t="s">
        <v>286</v>
      </c>
      <c r="D289" s="157" t="s">
        <v>465</v>
      </c>
      <c r="E289" s="173" t="s">
        <v>551</v>
      </c>
      <c r="F289" s="157">
        <v>20.3</v>
      </c>
      <c r="G289" s="119">
        <v>143999</v>
      </c>
    </row>
    <row r="290" spans="1:7" ht="14.5">
      <c r="A290" s="172">
        <v>45717</v>
      </c>
      <c r="B290" s="157" t="s">
        <v>298</v>
      </c>
      <c r="C290" s="173" t="s">
        <v>277</v>
      </c>
      <c r="D290" s="157" t="s">
        <v>465</v>
      </c>
      <c r="E290" s="173" t="s">
        <v>552</v>
      </c>
      <c r="F290" s="157">
        <v>20.7</v>
      </c>
      <c r="G290" s="119">
        <v>211500</v>
      </c>
    </row>
    <row r="291" spans="1:7" ht="14.5">
      <c r="A291" s="172">
        <v>45717</v>
      </c>
      <c r="B291" s="157" t="s">
        <v>432</v>
      </c>
      <c r="C291" s="173" t="s">
        <v>433</v>
      </c>
      <c r="D291" s="157" t="s">
        <v>462</v>
      </c>
      <c r="E291" s="173" t="s">
        <v>553</v>
      </c>
      <c r="F291" s="157">
        <v>16.100000000000001</v>
      </c>
      <c r="G291" s="119">
        <v>77000</v>
      </c>
    </row>
    <row r="292" spans="1:7" ht="14.5">
      <c r="A292" s="172">
        <v>45717</v>
      </c>
      <c r="B292" s="157" t="s">
        <v>276</v>
      </c>
      <c r="C292" s="173" t="s">
        <v>277</v>
      </c>
      <c r="D292" s="157" t="s">
        <v>465</v>
      </c>
      <c r="E292" s="173" t="s">
        <v>554</v>
      </c>
      <c r="F292" s="157">
        <v>21.7</v>
      </c>
      <c r="G292" s="119">
        <v>135500</v>
      </c>
    </row>
    <row r="293" spans="1:7" ht="14.5">
      <c r="A293" s="172">
        <v>45717</v>
      </c>
      <c r="B293" s="157" t="s">
        <v>298</v>
      </c>
      <c r="C293" s="173" t="s">
        <v>277</v>
      </c>
      <c r="D293" s="157" t="s">
        <v>465</v>
      </c>
      <c r="E293" s="173" t="s">
        <v>555</v>
      </c>
      <c r="F293" s="157">
        <v>16.8</v>
      </c>
      <c r="G293" s="119">
        <v>108500</v>
      </c>
    </row>
    <row r="294" spans="1:7" ht="14.5">
      <c r="A294" s="172">
        <v>45717</v>
      </c>
      <c r="B294" s="157" t="s">
        <v>298</v>
      </c>
      <c r="C294" s="173" t="s">
        <v>277</v>
      </c>
      <c r="D294" s="157" t="s">
        <v>478</v>
      </c>
      <c r="E294" s="173" t="s">
        <v>358</v>
      </c>
      <c r="F294" s="157">
        <v>15.7</v>
      </c>
      <c r="G294" s="119">
        <v>126500</v>
      </c>
    </row>
    <row r="295" spans="1:7" ht="14.5">
      <c r="A295" s="172">
        <v>45717</v>
      </c>
      <c r="B295" s="157" t="s">
        <v>276</v>
      </c>
      <c r="C295" s="173" t="s">
        <v>277</v>
      </c>
      <c r="D295" s="157" t="s">
        <v>478</v>
      </c>
      <c r="E295" s="173" t="s">
        <v>556</v>
      </c>
      <c r="F295" s="157">
        <v>1.3</v>
      </c>
      <c r="G295" s="119">
        <v>84000</v>
      </c>
    </row>
    <row r="296" spans="1:7" ht="14.5">
      <c r="A296" s="172">
        <v>45717</v>
      </c>
      <c r="B296" s="157" t="s">
        <v>312</v>
      </c>
      <c r="C296" s="173" t="s">
        <v>277</v>
      </c>
      <c r="D296" s="157" t="s">
        <v>465</v>
      </c>
      <c r="E296" s="173" t="s">
        <v>557</v>
      </c>
      <c r="F296" s="157">
        <v>19.2</v>
      </c>
      <c r="G296" s="119">
        <v>117500</v>
      </c>
    </row>
    <row r="297" spans="1:7" ht="14.5">
      <c r="A297" s="172">
        <v>45717</v>
      </c>
      <c r="B297" s="157" t="s">
        <v>276</v>
      </c>
      <c r="C297" s="173" t="s">
        <v>277</v>
      </c>
      <c r="D297" s="157" t="s">
        <v>465</v>
      </c>
      <c r="E297" s="173" t="s">
        <v>558</v>
      </c>
      <c r="F297" s="157">
        <v>18.3</v>
      </c>
      <c r="G297" s="119">
        <v>159499</v>
      </c>
    </row>
    <row r="298" spans="1:7" ht="14.5">
      <c r="A298" s="172">
        <v>45717</v>
      </c>
      <c r="B298" s="157" t="s">
        <v>312</v>
      </c>
      <c r="C298" s="173" t="s">
        <v>277</v>
      </c>
      <c r="D298" s="157" t="s">
        <v>465</v>
      </c>
      <c r="E298" s="173" t="s">
        <v>557</v>
      </c>
      <c r="F298" s="157">
        <v>19</v>
      </c>
      <c r="G298" s="119">
        <v>133500</v>
      </c>
    </row>
    <row r="299" spans="1:7" ht="14.5">
      <c r="A299" s="4"/>
      <c r="B299" s="2"/>
      <c r="C299" s="2"/>
      <c r="D299" s="2"/>
      <c r="E299" s="2"/>
      <c r="F299" s="1"/>
      <c r="G299" s="45"/>
    </row>
    <row r="300" spans="1:7" ht="14.5">
      <c r="A300" s="4"/>
      <c r="B300" s="2"/>
      <c r="C300" s="2"/>
      <c r="D300" s="2"/>
      <c r="E300" s="2"/>
      <c r="F300" s="1"/>
      <c r="G300" s="45"/>
    </row>
    <row r="301" spans="1:7" ht="14.5">
      <c r="A301" s="4"/>
      <c r="B301" s="2"/>
      <c r="C301" s="2"/>
      <c r="D301" s="2"/>
      <c r="E301" s="2"/>
      <c r="F301" s="1"/>
      <c r="G301" s="45"/>
    </row>
    <row r="302" spans="1:7" ht="14.5">
      <c r="A302" s="4"/>
      <c r="B302" s="2"/>
      <c r="C302" s="2"/>
      <c r="D302" s="2"/>
      <c r="E302" s="2"/>
      <c r="F302" s="1"/>
      <c r="G302" s="45"/>
    </row>
    <row r="303" spans="1:7" ht="14.5">
      <c r="A303" s="4"/>
      <c r="B303" s="2"/>
      <c r="C303" s="2"/>
      <c r="D303" s="2"/>
      <c r="E303" s="2"/>
      <c r="F303" s="1"/>
      <c r="G303" s="45"/>
    </row>
    <row r="304" spans="1:7" ht="14.5">
      <c r="A304" s="4"/>
      <c r="B304" s="2"/>
      <c r="C304" s="2"/>
      <c r="D304" s="2"/>
      <c r="E304" s="2"/>
      <c r="F304" s="1"/>
      <c r="G304" s="45"/>
    </row>
    <row r="305" spans="1:7" ht="14.5">
      <c r="A305" s="4"/>
      <c r="B305" s="2"/>
      <c r="C305" s="2"/>
      <c r="D305" s="2"/>
      <c r="E305" s="2"/>
      <c r="F305" s="1"/>
      <c r="G305" s="45"/>
    </row>
    <row r="306" spans="1:7" ht="14.5">
      <c r="A306" s="4"/>
      <c r="B306" s="2"/>
      <c r="C306" s="2"/>
      <c r="D306" s="2"/>
      <c r="E306" s="2"/>
      <c r="F306" s="1"/>
      <c r="G306" s="45"/>
    </row>
    <row r="307" spans="1:7" ht="14.5">
      <c r="A307" s="4"/>
      <c r="B307" s="2"/>
      <c r="C307" s="2"/>
      <c r="D307" s="2"/>
      <c r="E307" s="2"/>
      <c r="F307" s="1"/>
      <c r="G307" s="45"/>
    </row>
    <row r="308" spans="1:7" ht="14.5">
      <c r="A308" s="4"/>
      <c r="B308" s="2"/>
      <c r="C308" s="2"/>
      <c r="D308" s="2"/>
      <c r="E308" s="2"/>
      <c r="F308" s="1"/>
      <c r="G308" s="45"/>
    </row>
    <row r="309" spans="1:7" ht="14.5">
      <c r="A309" s="4"/>
      <c r="B309" s="2"/>
      <c r="C309" s="2"/>
      <c r="D309" s="2"/>
      <c r="E309" s="2"/>
      <c r="F309" s="1"/>
      <c r="G309" s="45"/>
    </row>
    <row r="310" spans="1:7" ht="14.5">
      <c r="A310" s="4"/>
      <c r="B310" s="2"/>
      <c r="C310" s="2"/>
      <c r="D310" s="2"/>
      <c r="E310" s="2"/>
      <c r="F310" s="1"/>
      <c r="G310" s="45"/>
    </row>
    <row r="311" spans="1:7" ht="14.5">
      <c r="A311" s="4"/>
      <c r="B311" s="2"/>
      <c r="C311" s="2"/>
      <c r="D311" s="2"/>
      <c r="E311" s="2"/>
      <c r="F311" s="1"/>
      <c r="G311" s="45"/>
    </row>
    <row r="312" spans="1:7" ht="14.5">
      <c r="A312" s="4"/>
      <c r="B312" s="2"/>
      <c r="C312" s="2"/>
      <c r="D312" s="2"/>
      <c r="E312" s="2"/>
      <c r="F312" s="1"/>
      <c r="G312" s="45"/>
    </row>
    <row r="313" spans="1:7" ht="14.5">
      <c r="A313" s="4"/>
      <c r="B313" s="2"/>
      <c r="C313" s="2"/>
      <c r="D313" s="2"/>
      <c r="E313" s="2"/>
      <c r="F313" s="1"/>
      <c r="G313" s="45"/>
    </row>
    <row r="314" spans="1:7" ht="14.5">
      <c r="A314" s="4"/>
      <c r="B314" s="2"/>
      <c r="C314" s="2"/>
      <c r="D314" s="2"/>
      <c r="E314" s="2"/>
      <c r="F314" s="1"/>
      <c r="G314" s="45"/>
    </row>
    <row r="315" spans="1:7" ht="14.5">
      <c r="A315" s="4"/>
      <c r="B315" s="2"/>
      <c r="C315" s="2"/>
      <c r="D315" s="2"/>
      <c r="E315" s="2"/>
      <c r="F315" s="1"/>
      <c r="G315" s="45"/>
    </row>
    <row r="316" spans="1:7" ht="14.5">
      <c r="A316" s="4"/>
      <c r="B316" s="2"/>
      <c r="C316" s="2"/>
      <c r="D316" s="2"/>
      <c r="E316" s="2"/>
      <c r="F316" s="1"/>
      <c r="G316" s="45"/>
    </row>
    <row r="317" spans="1:7" ht="14.5">
      <c r="A317" s="4"/>
      <c r="B317" s="2"/>
      <c r="C317" s="2"/>
      <c r="D317" s="2"/>
      <c r="E317" s="2"/>
      <c r="F317" s="1"/>
      <c r="G317" s="45"/>
    </row>
    <row r="318" spans="1:7" ht="14.5">
      <c r="A318" s="4"/>
      <c r="B318" s="2"/>
      <c r="C318" s="2"/>
      <c r="D318" s="2"/>
      <c r="E318" s="2"/>
      <c r="F318" s="1"/>
      <c r="G318" s="45"/>
    </row>
    <row r="319" spans="1:7" ht="14.5">
      <c r="A319" s="4"/>
      <c r="B319" s="2"/>
      <c r="C319" s="2"/>
      <c r="D319" s="2"/>
      <c r="E319" s="2"/>
      <c r="F319" s="1"/>
      <c r="G319" s="45"/>
    </row>
    <row r="320" spans="1:7" ht="14.5">
      <c r="A320" s="4"/>
      <c r="B320" s="2"/>
      <c r="C320" s="2"/>
      <c r="D320" s="2"/>
      <c r="E320" s="2"/>
      <c r="F320" s="1"/>
      <c r="G320" s="45"/>
    </row>
    <row r="321" spans="1:7" ht="14.5">
      <c r="A321" s="4"/>
      <c r="B321" s="2"/>
      <c r="C321" s="2"/>
      <c r="D321" s="2"/>
      <c r="E321" s="2"/>
      <c r="F321" s="1"/>
      <c r="G321" s="45"/>
    </row>
    <row r="322" spans="1:7" ht="14.5">
      <c r="A322" s="4"/>
      <c r="B322" s="2"/>
      <c r="C322" s="2"/>
      <c r="D322" s="2"/>
      <c r="E322" s="2"/>
      <c r="F322" s="1"/>
      <c r="G322" s="45"/>
    </row>
    <row r="323" spans="1:7" ht="14.5">
      <c r="A323" s="4"/>
      <c r="B323" s="2"/>
      <c r="C323" s="2"/>
      <c r="D323" s="2"/>
      <c r="E323" s="2"/>
      <c r="F323" s="1"/>
      <c r="G323" s="45"/>
    </row>
    <row r="324" spans="1:7" ht="14.5">
      <c r="A324" s="4"/>
      <c r="B324" s="2"/>
      <c r="C324" s="2"/>
      <c r="D324" s="2"/>
      <c r="E324" s="2"/>
      <c r="F324" s="1"/>
      <c r="G324" s="45"/>
    </row>
    <row r="325" spans="1:7" ht="14.5">
      <c r="A325" s="4"/>
      <c r="B325" s="2"/>
      <c r="C325" s="2"/>
      <c r="D325" s="2"/>
      <c r="E325" s="2"/>
      <c r="F325" s="1"/>
      <c r="G325" s="45"/>
    </row>
    <row r="326" spans="1:7" ht="14.5">
      <c r="A326" s="4"/>
      <c r="B326" s="2"/>
      <c r="C326" s="2"/>
      <c r="D326" s="2"/>
      <c r="E326" s="2"/>
      <c r="F326" s="1"/>
      <c r="G326" s="45"/>
    </row>
    <row r="327" spans="1:7" ht="14.5">
      <c r="A327" s="4"/>
      <c r="B327" s="2"/>
      <c r="C327" s="2"/>
      <c r="D327" s="2"/>
      <c r="E327" s="2"/>
      <c r="F327" s="1"/>
      <c r="G327" s="45"/>
    </row>
    <row r="328" spans="1:7" ht="14.5">
      <c r="A328" s="4"/>
      <c r="B328" s="2"/>
      <c r="C328" s="2"/>
      <c r="D328" s="2"/>
      <c r="E328" s="2"/>
      <c r="F328" s="1"/>
      <c r="G328" s="45"/>
    </row>
    <row r="329" spans="1:7" ht="14.5">
      <c r="A329" s="4"/>
      <c r="B329" s="2"/>
      <c r="C329" s="2"/>
      <c r="D329" s="2"/>
      <c r="E329" s="2"/>
      <c r="F329" s="1"/>
      <c r="G329" s="45"/>
    </row>
    <row r="330" spans="1:7" ht="14.5">
      <c r="A330" s="4"/>
      <c r="B330" s="2"/>
      <c r="C330" s="2"/>
      <c r="D330" s="2"/>
      <c r="E330" s="2"/>
      <c r="F330" s="1"/>
      <c r="G330" s="45"/>
    </row>
    <row r="331" spans="1:7" ht="14.5">
      <c r="A331" s="4"/>
      <c r="B331" s="2"/>
      <c r="C331" s="2"/>
      <c r="D331" s="2"/>
      <c r="E331" s="2"/>
      <c r="F331" s="1"/>
      <c r="G331" s="45"/>
    </row>
    <row r="332" spans="1:7" ht="14.5">
      <c r="A332" s="4"/>
      <c r="B332" s="2"/>
      <c r="C332" s="2"/>
      <c r="D332" s="2"/>
      <c r="E332" s="2"/>
      <c r="F332" s="1"/>
      <c r="G332" s="45"/>
    </row>
    <row r="333" spans="1:7" ht="14.5">
      <c r="A333" s="4"/>
      <c r="B333" s="2"/>
      <c r="C333" s="2"/>
      <c r="D333" s="2"/>
      <c r="E333" s="2"/>
      <c r="F333" s="1"/>
      <c r="G333" s="45"/>
    </row>
    <row r="334" spans="1:7" ht="14.5">
      <c r="A334" s="4"/>
      <c r="B334" s="2"/>
      <c r="C334" s="2"/>
      <c r="D334" s="2"/>
      <c r="E334" s="2"/>
      <c r="F334" s="1"/>
      <c r="G334" s="45"/>
    </row>
    <row r="335" spans="1:7" ht="14.5">
      <c r="A335" s="4"/>
      <c r="B335" s="2"/>
      <c r="C335" s="2"/>
      <c r="D335" s="2"/>
      <c r="E335" s="2"/>
      <c r="F335" s="1"/>
      <c r="G335" s="45"/>
    </row>
    <row r="336" spans="1:7" ht="14.5">
      <c r="A336" s="4"/>
      <c r="B336" s="2"/>
      <c r="C336" s="2"/>
      <c r="D336" s="2"/>
      <c r="E336" s="2"/>
      <c r="F336" s="1"/>
      <c r="G336" s="45"/>
    </row>
    <row r="337" spans="1:7" ht="14.5">
      <c r="A337" s="4"/>
      <c r="B337" s="2"/>
      <c r="C337" s="2"/>
      <c r="D337" s="2"/>
      <c r="E337" s="2"/>
      <c r="F337" s="1"/>
      <c r="G337" s="45"/>
    </row>
    <row r="338" spans="1:7" ht="14.5">
      <c r="A338" s="4"/>
      <c r="B338" s="2"/>
      <c r="C338" s="2"/>
      <c r="D338" s="2"/>
      <c r="E338" s="2"/>
      <c r="F338" s="1"/>
      <c r="G338" s="45"/>
    </row>
    <row r="339" spans="1:7" ht="14.5">
      <c r="A339" s="4"/>
      <c r="B339" s="2"/>
      <c r="C339" s="2"/>
      <c r="D339" s="2"/>
      <c r="E339" s="2"/>
      <c r="F339" s="1"/>
      <c r="G339" s="45"/>
    </row>
    <row r="340" spans="1:7" ht="14.5">
      <c r="A340" s="4"/>
      <c r="B340" s="2"/>
      <c r="C340" s="2"/>
      <c r="D340" s="2"/>
      <c r="E340" s="2"/>
      <c r="F340" s="1"/>
      <c r="G340" s="45"/>
    </row>
    <row r="341" spans="1:7" ht="14.5">
      <c r="A341" s="4"/>
      <c r="B341" s="2"/>
      <c r="C341" s="2"/>
      <c r="D341" s="2"/>
      <c r="E341" s="2"/>
      <c r="F341" s="1"/>
      <c r="G341" s="45"/>
    </row>
    <row r="342" spans="1:7" ht="14.5">
      <c r="A342" s="4"/>
      <c r="B342" s="2"/>
      <c r="C342" s="2"/>
      <c r="D342" s="2"/>
      <c r="E342" s="2"/>
      <c r="F342" s="1"/>
      <c r="G342" s="45"/>
    </row>
    <row r="343" spans="1:7" ht="14.5">
      <c r="A343" s="4"/>
      <c r="B343" s="2"/>
      <c r="C343" s="2"/>
      <c r="D343" s="2"/>
      <c r="E343" s="2"/>
      <c r="F343" s="1"/>
      <c r="G343" s="45"/>
    </row>
    <row r="344" spans="1:7" ht="14.5">
      <c r="A344" s="4"/>
      <c r="B344" s="2"/>
      <c r="C344" s="2"/>
      <c r="D344" s="2"/>
      <c r="E344" s="2"/>
      <c r="F344" s="1"/>
      <c r="G344" s="45"/>
    </row>
    <row r="345" spans="1:7" ht="14.5">
      <c r="A345" s="4"/>
      <c r="B345" s="2"/>
      <c r="C345" s="2"/>
      <c r="D345" s="2"/>
      <c r="E345" s="2"/>
      <c r="F345" s="1"/>
      <c r="G345" s="45"/>
    </row>
    <row r="346" spans="1:7" ht="14.5">
      <c r="A346" s="4"/>
      <c r="B346" s="2"/>
      <c r="C346" s="2"/>
      <c r="D346" s="2"/>
      <c r="E346" s="2"/>
      <c r="F346" s="1"/>
      <c r="G346" s="45"/>
    </row>
    <row r="347" spans="1:7" ht="14.5">
      <c r="A347" s="4"/>
      <c r="B347" s="2"/>
      <c r="C347" s="2"/>
      <c r="D347" s="2"/>
      <c r="E347" s="2"/>
      <c r="F347" s="1"/>
      <c r="G347" s="45"/>
    </row>
    <row r="348" spans="1:7" ht="14.5">
      <c r="A348" s="4"/>
      <c r="B348" s="2"/>
      <c r="C348" s="2"/>
      <c r="D348" s="2"/>
      <c r="E348" s="2"/>
      <c r="F348" s="1"/>
      <c r="G348" s="45"/>
    </row>
    <row r="349" spans="1:7" ht="14.5">
      <c r="A349" s="4"/>
      <c r="B349" s="2"/>
      <c r="C349" s="2"/>
      <c r="D349" s="2"/>
      <c r="E349" s="2"/>
      <c r="F349" s="1"/>
      <c r="G349" s="45"/>
    </row>
    <row r="350" spans="1:7" ht="14.5">
      <c r="A350" s="4"/>
      <c r="B350" s="2"/>
      <c r="C350" s="2"/>
      <c r="D350" s="2"/>
      <c r="E350" s="2"/>
      <c r="F350" s="1"/>
      <c r="G350" s="45"/>
    </row>
    <row r="351" spans="1:7" ht="14.5">
      <c r="A351" s="4"/>
      <c r="B351" s="2"/>
      <c r="C351" s="2"/>
      <c r="D351" s="2"/>
      <c r="E351" s="2"/>
      <c r="F351" s="1"/>
      <c r="G351" s="45"/>
    </row>
    <row r="352" spans="1:7" ht="14.5">
      <c r="A352" s="4"/>
      <c r="B352" s="2"/>
      <c r="C352" s="2"/>
      <c r="D352" s="2"/>
      <c r="E352" s="2"/>
      <c r="F352" s="1"/>
      <c r="G352" s="45"/>
    </row>
    <row r="353" spans="1:7" ht="14.5">
      <c r="A353" s="4"/>
      <c r="B353" s="2"/>
      <c r="C353" s="2"/>
      <c r="D353" s="2"/>
      <c r="E353" s="2"/>
      <c r="F353" s="1"/>
      <c r="G353" s="45"/>
    </row>
    <row r="354" spans="1:7" ht="14.5">
      <c r="A354" s="4"/>
      <c r="B354" s="2"/>
      <c r="C354" s="2"/>
      <c r="D354" s="2"/>
      <c r="E354" s="2"/>
      <c r="F354" s="1"/>
      <c r="G354" s="45"/>
    </row>
    <row r="355" spans="1:7" ht="14.5">
      <c r="A355" s="5"/>
      <c r="B355" s="2"/>
      <c r="C355" s="2"/>
      <c r="D355" s="2"/>
      <c r="E355" s="3"/>
      <c r="F355" s="3"/>
      <c r="G355" s="56"/>
    </row>
    <row r="356" spans="1:7" ht="14.5">
      <c r="A356" s="5"/>
      <c r="B356" s="2"/>
      <c r="C356" s="2"/>
      <c r="D356" s="2"/>
      <c r="E356" s="3"/>
      <c r="F356" s="3"/>
      <c r="G356" s="56"/>
    </row>
    <row r="357" spans="1:7" ht="14.5">
      <c r="A357" s="5"/>
      <c r="B357" s="2"/>
      <c r="C357" s="2"/>
      <c r="D357" s="2"/>
      <c r="E357" s="3"/>
      <c r="F357" s="3"/>
      <c r="G357" s="56"/>
    </row>
    <row r="358" spans="1:7" ht="14.5">
      <c r="A358" s="5"/>
      <c r="B358" s="2"/>
      <c r="C358" s="2"/>
      <c r="D358" s="2"/>
      <c r="E358" s="3"/>
      <c r="F358" s="3"/>
      <c r="G358" s="56"/>
    </row>
    <row r="359" spans="1:7" ht="14.5">
      <c r="A359" s="5"/>
      <c r="B359" s="2"/>
      <c r="C359" s="2"/>
      <c r="D359" s="2"/>
      <c r="E359" s="3"/>
      <c r="F359" s="3"/>
      <c r="G359" s="56"/>
    </row>
    <row r="360" spans="1:7" ht="14.5">
      <c r="A360" s="5"/>
      <c r="B360" s="2"/>
      <c r="C360" s="2"/>
      <c r="D360" s="2"/>
      <c r="E360" s="3"/>
      <c r="F360" s="3"/>
      <c r="G360" s="56"/>
    </row>
    <row r="361" spans="1:7" ht="14.5">
      <c r="A361" s="5"/>
      <c r="B361" s="2"/>
      <c r="C361" s="2"/>
      <c r="D361" s="2"/>
      <c r="E361" s="3"/>
      <c r="F361" s="3"/>
      <c r="G361" s="56"/>
    </row>
    <row r="362" spans="1:7" ht="14.5">
      <c r="A362" s="5"/>
      <c r="B362" s="2"/>
      <c r="C362" s="2"/>
      <c r="D362" s="2"/>
      <c r="E362" s="3"/>
      <c r="F362" s="3"/>
      <c r="G362" s="56"/>
    </row>
    <row r="363" spans="1:7" ht="14.5">
      <c r="A363" s="5"/>
      <c r="B363" s="2"/>
      <c r="C363" s="2"/>
      <c r="D363" s="2"/>
      <c r="E363" s="3"/>
      <c r="F363" s="3"/>
      <c r="G363" s="56"/>
    </row>
    <row r="364" spans="1:7" ht="14.5">
      <c r="A364" s="5"/>
      <c r="B364" s="2"/>
      <c r="C364" s="2"/>
      <c r="D364" s="2"/>
      <c r="E364" s="3"/>
      <c r="F364" s="3"/>
      <c r="G364" s="56"/>
    </row>
    <row r="365" spans="1:7" ht="14.5">
      <c r="A365" s="5"/>
      <c r="B365" s="2"/>
      <c r="C365" s="2"/>
      <c r="D365" s="2"/>
      <c r="E365" s="3"/>
      <c r="F365" s="3"/>
      <c r="G365" s="56"/>
    </row>
    <row r="366" spans="1:7" ht="14.5">
      <c r="A366" s="5"/>
      <c r="B366" s="2"/>
      <c r="C366" s="2"/>
      <c r="D366" s="2"/>
      <c r="E366" s="3"/>
      <c r="F366" s="3"/>
      <c r="G366" s="56"/>
    </row>
    <row r="367" spans="1:7" ht="14.5">
      <c r="A367" s="5"/>
      <c r="B367" s="2"/>
      <c r="C367" s="2"/>
      <c r="D367" s="2"/>
      <c r="E367" s="3"/>
      <c r="F367" s="3"/>
      <c r="G367" s="56"/>
    </row>
    <row r="368" spans="1:7" ht="14.5">
      <c r="A368" s="5"/>
      <c r="B368" s="2"/>
      <c r="C368" s="2"/>
      <c r="D368" s="2"/>
      <c r="E368" s="3"/>
      <c r="F368" s="3"/>
      <c r="G368" s="56"/>
    </row>
    <row r="369" spans="1:7" ht="14.5">
      <c r="A369" s="5"/>
      <c r="B369" s="2"/>
      <c r="C369" s="2"/>
      <c r="D369" s="2"/>
      <c r="E369" s="3"/>
      <c r="F369" s="3"/>
      <c r="G369" s="56"/>
    </row>
    <row r="370" spans="1:7" ht="14.5">
      <c r="A370" s="5"/>
      <c r="B370" s="2"/>
      <c r="C370" s="2"/>
      <c r="D370" s="2"/>
      <c r="E370" s="3"/>
      <c r="F370" s="3"/>
      <c r="G370" s="56"/>
    </row>
    <row r="371" spans="1:7" ht="14.5">
      <c r="A371" s="5"/>
      <c r="B371" s="2"/>
      <c r="C371" s="2"/>
      <c r="D371" s="2"/>
      <c r="E371" s="3"/>
      <c r="F371" s="3"/>
      <c r="G371" s="56"/>
    </row>
    <row r="372" spans="1:7" ht="14.5">
      <c r="A372" s="5"/>
      <c r="B372" s="2"/>
      <c r="C372" s="2"/>
      <c r="D372" s="2"/>
      <c r="E372" s="3"/>
      <c r="F372" s="3"/>
      <c r="G372" s="56"/>
    </row>
    <row r="373" spans="1:7" ht="14.5">
      <c r="A373" s="5"/>
      <c r="B373" s="2"/>
      <c r="C373" s="2"/>
      <c r="D373" s="2"/>
      <c r="E373" s="3"/>
      <c r="F373" s="3"/>
      <c r="G373" s="56"/>
    </row>
    <row r="374" spans="1:7" ht="14.5">
      <c r="A374" s="5"/>
      <c r="B374" s="2"/>
      <c r="C374" s="2"/>
      <c r="D374" s="2"/>
      <c r="E374" s="3"/>
      <c r="F374" s="3"/>
      <c r="G374" s="56"/>
    </row>
    <row r="375" spans="1:7" ht="14.5">
      <c r="A375" s="5"/>
      <c r="B375" s="2"/>
      <c r="C375" s="2"/>
      <c r="D375" s="2"/>
      <c r="E375" s="3"/>
      <c r="F375" s="3"/>
      <c r="G375" s="56"/>
    </row>
    <row r="376" spans="1:7" ht="14.5">
      <c r="A376" s="5"/>
      <c r="B376" s="2"/>
      <c r="C376" s="2"/>
      <c r="D376" s="2"/>
      <c r="E376" s="3"/>
      <c r="F376" s="3"/>
      <c r="G376" s="56"/>
    </row>
    <row r="377" spans="1:7" ht="14.5">
      <c r="A377" s="5"/>
      <c r="B377" s="2"/>
      <c r="C377" s="2"/>
      <c r="D377" s="2"/>
      <c r="E377" s="3"/>
      <c r="F377" s="3"/>
      <c r="G377" s="56"/>
    </row>
    <row r="378" spans="1:7" ht="14.5">
      <c r="A378" s="5"/>
      <c r="B378" s="2"/>
      <c r="C378" s="2"/>
      <c r="D378" s="2"/>
      <c r="E378" s="3"/>
      <c r="F378" s="3"/>
      <c r="G378" s="56"/>
    </row>
    <row r="379" spans="1:7" ht="14.5">
      <c r="A379" s="5"/>
      <c r="B379" s="2"/>
      <c r="C379" s="2"/>
      <c r="D379" s="2"/>
      <c r="E379" s="3"/>
      <c r="F379" s="3"/>
      <c r="G379" s="56"/>
    </row>
    <row r="380" spans="1:7" ht="14.5">
      <c r="A380" s="5"/>
      <c r="B380" s="2"/>
      <c r="C380" s="2"/>
      <c r="D380" s="2"/>
      <c r="E380" s="3"/>
      <c r="F380" s="3"/>
      <c r="G380" s="56"/>
    </row>
    <row r="381" spans="1:7" ht="14.5">
      <c r="A381" s="5"/>
      <c r="B381" s="2"/>
      <c r="C381" s="2"/>
      <c r="D381" s="2"/>
      <c r="E381" s="3"/>
      <c r="F381" s="3"/>
      <c r="G381" s="56"/>
    </row>
    <row r="382" spans="1:7" ht="14.5">
      <c r="A382" s="5"/>
      <c r="B382" s="2"/>
      <c r="C382" s="2"/>
      <c r="D382" s="2"/>
      <c r="E382" s="3"/>
      <c r="F382" s="3"/>
      <c r="G382" s="56"/>
    </row>
    <row r="383" spans="1:7" ht="14.5">
      <c r="A383" s="5"/>
      <c r="B383" s="2"/>
      <c r="C383" s="2"/>
      <c r="D383" s="2"/>
      <c r="E383" s="3"/>
      <c r="F383" s="3"/>
      <c r="G383" s="56"/>
    </row>
    <row r="384" spans="1:7" ht="14.5">
      <c r="A384" s="5"/>
      <c r="B384" s="2"/>
      <c r="C384" s="2"/>
      <c r="D384" s="2"/>
      <c r="E384" s="3"/>
      <c r="F384" s="3"/>
      <c r="G384" s="56"/>
    </row>
    <row r="385" spans="1:7" ht="14.5">
      <c r="A385" s="5"/>
      <c r="B385" s="2"/>
      <c r="C385" s="2"/>
      <c r="D385" s="2"/>
      <c r="E385" s="3"/>
      <c r="F385" s="3"/>
      <c r="G385" s="56"/>
    </row>
    <row r="386" spans="1:7" ht="14.5">
      <c r="A386" s="5"/>
      <c r="B386" s="2"/>
      <c r="C386" s="2"/>
      <c r="D386" s="2"/>
      <c r="E386" s="3"/>
      <c r="F386" s="3"/>
      <c r="G386" s="56"/>
    </row>
    <row r="387" spans="1:7" ht="14.5">
      <c r="A387" s="5"/>
      <c r="B387" s="2"/>
      <c r="C387" s="2"/>
      <c r="D387" s="2"/>
      <c r="E387" s="3"/>
      <c r="F387" s="3"/>
      <c r="G387" s="56"/>
    </row>
    <row r="388" spans="1:7" ht="14.5">
      <c r="A388" s="5"/>
      <c r="B388" s="2"/>
      <c r="C388" s="2"/>
      <c r="D388" s="2"/>
      <c r="E388" s="3"/>
      <c r="F388" s="3"/>
      <c r="G388" s="56"/>
    </row>
    <row r="389" spans="1:7" ht="14.5">
      <c r="A389" s="5"/>
      <c r="B389" s="2"/>
      <c r="C389" s="2"/>
      <c r="D389" s="2"/>
      <c r="E389" s="3"/>
      <c r="F389" s="3"/>
      <c r="G389" s="56"/>
    </row>
    <row r="390" spans="1:7" ht="14.5">
      <c r="A390" s="5"/>
      <c r="B390" s="2"/>
      <c r="C390" s="2"/>
      <c r="D390" s="2"/>
      <c r="E390" s="3"/>
      <c r="F390" s="3"/>
      <c r="G390" s="56"/>
    </row>
    <row r="391" spans="1:7" ht="14.5">
      <c r="A391" s="5"/>
      <c r="B391" s="2"/>
      <c r="C391" s="2"/>
      <c r="D391" s="2"/>
      <c r="E391" s="3"/>
      <c r="F391" s="3"/>
      <c r="G391" s="56"/>
    </row>
    <row r="392" spans="1:7" ht="14.5">
      <c r="A392" s="5"/>
      <c r="B392" s="2"/>
      <c r="C392" s="2"/>
      <c r="D392" s="2"/>
      <c r="E392" s="3"/>
      <c r="F392" s="3"/>
      <c r="G392" s="56"/>
    </row>
    <row r="393" spans="1:7" ht="14.5">
      <c r="A393" s="5"/>
      <c r="B393" s="2"/>
      <c r="C393" s="2"/>
      <c r="D393" s="2"/>
      <c r="E393" s="3"/>
      <c r="F393" s="3"/>
      <c r="G393" s="56"/>
    </row>
    <row r="394" spans="1:7" ht="14.5">
      <c r="A394" s="5"/>
      <c r="B394" s="2"/>
      <c r="C394" s="2"/>
      <c r="D394" s="2"/>
      <c r="E394" s="3"/>
      <c r="F394" s="3"/>
      <c r="G394" s="56"/>
    </row>
    <row r="395" spans="1:7" ht="14.5">
      <c r="A395" s="5"/>
      <c r="B395" s="2"/>
      <c r="C395" s="2"/>
      <c r="D395" s="2"/>
      <c r="E395" s="3"/>
      <c r="F395" s="3"/>
      <c r="G395" s="56"/>
    </row>
    <row r="396" spans="1:7" ht="14.5">
      <c r="A396" s="5"/>
      <c r="B396" s="2"/>
      <c r="C396" s="2"/>
      <c r="D396" s="2"/>
      <c r="E396" s="3"/>
      <c r="F396" s="3"/>
      <c r="G396" s="56"/>
    </row>
    <row r="397" spans="1:7" ht="14.5">
      <c r="A397" s="5"/>
      <c r="B397" s="2"/>
      <c r="C397" s="2"/>
      <c r="D397" s="2"/>
      <c r="E397" s="3"/>
      <c r="F397" s="3"/>
      <c r="G397" s="56"/>
    </row>
    <row r="398" spans="1:7" ht="14.5">
      <c r="A398" s="5"/>
      <c r="B398" s="2"/>
      <c r="C398" s="2"/>
      <c r="D398" s="2"/>
      <c r="E398" s="3"/>
      <c r="F398" s="3"/>
      <c r="G398" s="56"/>
    </row>
    <row r="399" spans="1:7" ht="14.5">
      <c r="A399" s="5"/>
      <c r="B399" s="2"/>
      <c r="C399" s="2"/>
      <c r="D399" s="2"/>
      <c r="E399" s="3"/>
      <c r="F399" s="3"/>
      <c r="G399" s="56"/>
    </row>
    <row r="400" spans="1:7" ht="14.5">
      <c r="A400" s="5"/>
      <c r="B400" s="2"/>
      <c r="C400" s="2"/>
      <c r="D400" s="2"/>
      <c r="E400" s="3"/>
      <c r="F400" s="3"/>
      <c r="G400" s="56"/>
    </row>
    <row r="401" spans="1:7" ht="14.5">
      <c r="A401" s="5"/>
      <c r="B401" s="2"/>
      <c r="C401" s="2"/>
      <c r="D401" s="2"/>
      <c r="E401" s="3"/>
      <c r="F401" s="3"/>
      <c r="G401" s="56"/>
    </row>
    <row r="402" spans="1:7" ht="14.5">
      <c r="A402" s="5"/>
      <c r="B402" s="2"/>
      <c r="C402" s="2"/>
      <c r="D402" s="2"/>
      <c r="E402" s="3"/>
      <c r="F402" s="3"/>
      <c r="G402" s="56"/>
    </row>
    <row r="403" spans="1:7" ht="14.5">
      <c r="A403" s="5"/>
      <c r="B403" s="2"/>
      <c r="C403" s="2"/>
      <c r="D403" s="2"/>
      <c r="E403" s="3"/>
      <c r="F403" s="3"/>
      <c r="G403" s="56"/>
    </row>
    <row r="404" spans="1:7" ht="14.5">
      <c r="A404" s="5"/>
      <c r="B404" s="2"/>
      <c r="C404" s="2"/>
      <c r="D404" s="2"/>
      <c r="E404" s="3"/>
      <c r="F404" s="3"/>
      <c r="G404" s="56"/>
    </row>
    <row r="405" spans="1:7" ht="14.5">
      <c r="A405" s="5"/>
      <c r="B405" s="2"/>
      <c r="C405" s="2"/>
      <c r="D405" s="2"/>
      <c r="E405" s="3"/>
      <c r="F405" s="3"/>
      <c r="G405" s="56"/>
    </row>
    <row r="406" spans="1:7" ht="14.5">
      <c r="A406" s="5"/>
      <c r="B406" s="2"/>
      <c r="C406" s="2"/>
      <c r="D406" s="2"/>
      <c r="E406" s="3"/>
      <c r="F406" s="3"/>
      <c r="G406" s="56"/>
    </row>
    <row r="407" spans="1:7" ht="14.5">
      <c r="A407" s="5"/>
      <c r="B407" s="2"/>
      <c r="C407" s="2"/>
      <c r="D407" s="2"/>
      <c r="E407" s="3"/>
      <c r="F407" s="3"/>
      <c r="G407" s="56"/>
    </row>
    <row r="408" spans="1:7" ht="14.5">
      <c r="A408" s="5"/>
      <c r="B408" s="2"/>
      <c r="C408" s="2"/>
      <c r="D408" s="2"/>
      <c r="E408" s="3"/>
      <c r="F408" s="3"/>
      <c r="G408" s="56"/>
    </row>
    <row r="409" spans="1:7" ht="14.5">
      <c r="A409" s="5"/>
      <c r="B409" s="2"/>
      <c r="C409" s="2"/>
      <c r="D409" s="2"/>
      <c r="E409" s="3"/>
      <c r="F409" s="3"/>
      <c r="G409" s="56"/>
    </row>
    <row r="410" spans="1:7" ht="14.5">
      <c r="A410" s="5"/>
      <c r="B410" s="2"/>
      <c r="C410" s="2"/>
      <c r="D410" s="2"/>
      <c r="E410" s="3"/>
      <c r="F410" s="3"/>
      <c r="G410" s="56"/>
    </row>
    <row r="411" spans="1:7" ht="14.5">
      <c r="A411" s="5"/>
      <c r="B411" s="2"/>
      <c r="C411" s="2"/>
      <c r="D411" s="2"/>
      <c r="E411" s="3"/>
      <c r="F411" s="3"/>
      <c r="G411" s="56"/>
    </row>
    <row r="412" spans="1:7" ht="14.5">
      <c r="A412" s="5"/>
      <c r="B412" s="2"/>
      <c r="C412" s="2"/>
      <c r="D412" s="2"/>
      <c r="E412" s="3"/>
      <c r="F412" s="3"/>
      <c r="G412" s="56"/>
    </row>
    <row r="413" spans="1:7" ht="14.5">
      <c r="A413" s="5"/>
      <c r="B413" s="2"/>
      <c r="C413" s="2"/>
      <c r="D413" s="2"/>
      <c r="E413" s="3"/>
      <c r="F413" s="3"/>
      <c r="G413" s="56"/>
    </row>
    <row r="414" spans="1:7" ht="14.5">
      <c r="A414" s="5"/>
      <c r="B414" s="2"/>
      <c r="C414" s="2"/>
      <c r="D414" s="2"/>
      <c r="E414" s="3"/>
      <c r="F414" s="3"/>
      <c r="G414" s="56"/>
    </row>
    <row r="415" spans="1:7" ht="14.5">
      <c r="A415" s="5"/>
      <c r="B415" s="2"/>
      <c r="C415" s="2"/>
      <c r="D415" s="2"/>
      <c r="E415" s="3"/>
      <c r="F415" s="3"/>
      <c r="G415" s="56"/>
    </row>
    <row r="416" spans="1:7" ht="14.5">
      <c r="A416" s="5"/>
      <c r="B416" s="2"/>
      <c r="C416" s="2"/>
      <c r="D416" s="2"/>
      <c r="E416" s="3"/>
      <c r="F416" s="3"/>
      <c r="G416" s="56"/>
    </row>
    <row r="417" spans="1:7" ht="14.5">
      <c r="A417" s="5"/>
      <c r="B417" s="2"/>
      <c r="C417" s="2"/>
      <c r="D417" s="2"/>
      <c r="E417" s="3"/>
      <c r="F417" s="3"/>
      <c r="G417" s="56"/>
    </row>
    <row r="418" spans="1:7" ht="14.5">
      <c r="A418" s="5"/>
      <c r="B418" s="2"/>
      <c r="C418" s="2"/>
      <c r="D418" s="2"/>
      <c r="E418" s="3"/>
      <c r="F418" s="3"/>
      <c r="G418" s="56"/>
    </row>
    <row r="419" spans="1:7" ht="14.5">
      <c r="A419" s="5"/>
      <c r="B419" s="2"/>
      <c r="C419" s="2"/>
      <c r="D419" s="2"/>
      <c r="E419" s="3"/>
      <c r="F419" s="3"/>
      <c r="G419" s="56"/>
    </row>
    <row r="420" spans="1:7" ht="14.5">
      <c r="A420" s="5"/>
      <c r="B420" s="2"/>
      <c r="C420" s="2"/>
      <c r="D420" s="2"/>
      <c r="E420" s="3"/>
      <c r="F420" s="3"/>
      <c r="G420" s="56"/>
    </row>
    <row r="421" spans="1:7" ht="14.5">
      <c r="A421" s="5"/>
      <c r="B421" s="2"/>
      <c r="C421" s="2"/>
      <c r="D421" s="2"/>
      <c r="E421" s="3"/>
      <c r="F421" s="3"/>
      <c r="G421" s="56"/>
    </row>
    <row r="422" spans="1:7" ht="14.5">
      <c r="A422" s="5"/>
      <c r="B422" s="2"/>
      <c r="C422" s="2"/>
      <c r="D422" s="2"/>
      <c r="E422" s="3"/>
      <c r="F422" s="3"/>
      <c r="G422" s="56"/>
    </row>
    <row r="423" spans="1:7" ht="14.5">
      <c r="A423" s="5"/>
      <c r="B423" s="2"/>
      <c r="C423" s="2"/>
      <c r="D423" s="2"/>
      <c r="E423" s="3"/>
      <c r="F423" s="3"/>
      <c r="G423" s="56"/>
    </row>
    <row r="424" spans="1:7" ht="14.5">
      <c r="A424" s="5"/>
      <c r="B424" s="2"/>
      <c r="C424" s="2"/>
      <c r="D424" s="2"/>
      <c r="E424" s="3"/>
      <c r="F424" s="3"/>
      <c r="G424" s="56"/>
    </row>
    <row r="425" spans="1:7" ht="14.5">
      <c r="A425" s="5"/>
      <c r="B425" s="2"/>
      <c r="C425" s="2"/>
      <c r="D425" s="2"/>
      <c r="E425" s="3"/>
      <c r="F425" s="3"/>
      <c r="G425" s="56"/>
    </row>
    <row r="426" spans="1:7" ht="14.5">
      <c r="A426" s="5"/>
      <c r="B426" s="2"/>
      <c r="C426" s="2"/>
      <c r="D426" s="2"/>
      <c r="E426" s="3"/>
      <c r="F426" s="3"/>
      <c r="G426" s="56"/>
    </row>
    <row r="427" spans="1:7" ht="14.5">
      <c r="A427" s="5"/>
      <c r="B427" s="2"/>
      <c r="C427" s="2"/>
      <c r="D427" s="2"/>
      <c r="E427" s="3"/>
      <c r="F427" s="3"/>
      <c r="G427" s="56"/>
    </row>
    <row r="428" spans="1:7" ht="14.5">
      <c r="A428" s="5"/>
      <c r="B428" s="2"/>
      <c r="C428" s="2"/>
      <c r="D428" s="2"/>
      <c r="E428" s="3"/>
      <c r="F428" s="3"/>
      <c r="G428" s="56"/>
    </row>
    <row r="429" spans="1:7" ht="14.5">
      <c r="A429" s="5"/>
      <c r="B429" s="2"/>
      <c r="C429" s="2"/>
      <c r="D429" s="2"/>
      <c r="E429" s="3"/>
      <c r="F429" s="3"/>
      <c r="G429" s="56"/>
    </row>
    <row r="430" spans="1:7" ht="14.5">
      <c r="A430" s="5"/>
      <c r="B430" s="2"/>
      <c r="C430" s="2"/>
      <c r="D430" s="2"/>
      <c r="E430" s="3"/>
      <c r="F430" s="3"/>
      <c r="G430" s="56"/>
    </row>
    <row r="431" spans="1:7" ht="14.5">
      <c r="A431" s="5"/>
      <c r="B431" s="2"/>
      <c r="C431" s="2"/>
      <c r="D431" s="2"/>
      <c r="E431" s="3"/>
      <c r="F431" s="3"/>
      <c r="G431" s="56"/>
    </row>
    <row r="432" spans="1:7" ht="14.5">
      <c r="A432" s="5"/>
      <c r="B432" s="2"/>
      <c r="C432" s="2"/>
      <c r="D432" s="2"/>
      <c r="E432" s="3"/>
      <c r="F432" s="3"/>
      <c r="G432" s="56"/>
    </row>
    <row r="433" spans="1:7" ht="14.5">
      <c r="A433" s="5"/>
      <c r="B433" s="2"/>
      <c r="C433" s="2"/>
      <c r="D433" s="2"/>
      <c r="E433" s="3"/>
      <c r="F433" s="3"/>
      <c r="G433" s="56"/>
    </row>
    <row r="434" spans="1:7" ht="14.5">
      <c r="A434" s="5"/>
      <c r="B434" s="2"/>
      <c r="C434" s="2"/>
      <c r="D434" s="2"/>
      <c r="E434" s="3"/>
      <c r="F434" s="3"/>
      <c r="G434" s="56"/>
    </row>
    <row r="435" spans="1:7" ht="14.5">
      <c r="A435" s="5"/>
      <c r="B435" s="2"/>
      <c r="C435" s="2"/>
      <c r="D435" s="2"/>
      <c r="E435" s="3"/>
      <c r="F435" s="3"/>
      <c r="G435" s="56"/>
    </row>
    <row r="436" spans="1:7" ht="14.5">
      <c r="A436" s="5"/>
      <c r="B436" s="2"/>
      <c r="C436" s="2"/>
      <c r="D436" s="2"/>
      <c r="E436" s="3"/>
      <c r="F436" s="3"/>
      <c r="G436" s="56"/>
    </row>
    <row r="437" spans="1:7" ht="14.5">
      <c r="A437" s="5"/>
      <c r="B437" s="2"/>
      <c r="C437" s="2"/>
      <c r="D437" s="2"/>
      <c r="E437" s="3"/>
      <c r="F437" s="3"/>
      <c r="G437" s="56"/>
    </row>
    <row r="438" spans="1:7" ht="14.5">
      <c r="A438" s="5"/>
      <c r="B438" s="2"/>
      <c r="C438" s="2"/>
      <c r="D438" s="2"/>
      <c r="E438" s="3"/>
      <c r="F438" s="3"/>
      <c r="G438" s="56"/>
    </row>
    <row r="439" spans="1:7" ht="14.5">
      <c r="A439" s="5"/>
      <c r="B439" s="2"/>
      <c r="C439" s="2"/>
      <c r="D439" s="2"/>
      <c r="E439" s="3"/>
      <c r="F439" s="3"/>
      <c r="G439" s="56"/>
    </row>
    <row r="440" spans="1:7" ht="14.5">
      <c r="A440" s="5"/>
      <c r="B440" s="2"/>
      <c r="C440" s="2"/>
      <c r="D440" s="2"/>
      <c r="E440" s="3"/>
      <c r="F440" s="3"/>
      <c r="G440" s="56"/>
    </row>
    <row r="441" spans="1:7" ht="14.5">
      <c r="A441" s="5"/>
      <c r="B441" s="2"/>
      <c r="C441" s="2"/>
      <c r="D441" s="2"/>
      <c r="E441" s="3"/>
      <c r="F441" s="3"/>
      <c r="G441" s="56"/>
    </row>
    <row r="442" spans="1:7" ht="14.5">
      <c r="A442" s="5"/>
      <c r="B442" s="2"/>
      <c r="C442" s="2"/>
      <c r="D442" s="2"/>
      <c r="E442" s="3"/>
      <c r="F442" s="3"/>
      <c r="G442" s="56"/>
    </row>
    <row r="443" spans="1:7" ht="14.5">
      <c r="A443" s="5"/>
      <c r="B443" s="2"/>
      <c r="C443" s="2"/>
      <c r="D443" s="2"/>
      <c r="E443" s="3"/>
      <c r="F443" s="3"/>
      <c r="G443" s="56"/>
    </row>
    <row r="444" spans="1:7" ht="14.5">
      <c r="A444" s="5"/>
      <c r="B444" s="2"/>
      <c r="C444" s="2"/>
      <c r="D444" s="2"/>
      <c r="E444" s="3"/>
      <c r="F444" s="3"/>
      <c r="G444" s="56"/>
    </row>
    <row r="445" spans="1:7" ht="14.5">
      <c r="A445" s="5"/>
      <c r="B445" s="2"/>
      <c r="C445" s="2"/>
      <c r="D445" s="2"/>
      <c r="E445" s="3"/>
      <c r="F445" s="3"/>
      <c r="G445" s="56"/>
    </row>
    <row r="446" spans="1:7" ht="14.5">
      <c r="A446" s="5"/>
      <c r="B446" s="2"/>
      <c r="C446" s="2"/>
      <c r="D446" s="2"/>
      <c r="E446" s="3"/>
      <c r="F446" s="3"/>
      <c r="G446" s="56"/>
    </row>
    <row r="447" spans="1:7" ht="14.5">
      <c r="A447" s="5"/>
      <c r="B447" s="2"/>
      <c r="C447" s="2"/>
      <c r="D447" s="2"/>
      <c r="E447" s="3"/>
      <c r="F447" s="3"/>
      <c r="G447" s="56"/>
    </row>
    <row r="448" spans="1:7" ht="14.5">
      <c r="A448" s="5"/>
      <c r="B448" s="2"/>
      <c r="C448" s="2"/>
      <c r="D448" s="2"/>
      <c r="E448" s="3"/>
      <c r="F448" s="3"/>
      <c r="G448" s="56"/>
    </row>
    <row r="449" spans="1:7" ht="14.5">
      <c r="A449" s="5"/>
      <c r="B449" s="2"/>
      <c r="C449" s="2"/>
      <c r="D449" s="2"/>
      <c r="E449" s="3"/>
      <c r="F449" s="3"/>
      <c r="G449" s="56"/>
    </row>
    <row r="450" spans="1:7" ht="14.5">
      <c r="A450" s="5"/>
      <c r="B450" s="2"/>
      <c r="C450" s="2"/>
      <c r="D450" s="2"/>
      <c r="E450" s="3"/>
      <c r="F450" s="3"/>
      <c r="G450" s="56"/>
    </row>
    <row r="451" spans="1:7" ht="14.5">
      <c r="A451" s="5"/>
      <c r="B451" s="2"/>
      <c r="C451" s="2"/>
      <c r="D451" s="2"/>
      <c r="E451" s="3"/>
      <c r="F451" s="3"/>
      <c r="G451" s="56"/>
    </row>
    <row r="452" spans="1:7" ht="14.5">
      <c r="A452" s="5"/>
      <c r="B452" s="2"/>
      <c r="C452" s="2"/>
      <c r="D452" s="2"/>
      <c r="E452" s="3"/>
      <c r="F452" s="3"/>
      <c r="G452" s="56"/>
    </row>
    <row r="453" spans="1:7" ht="14.5">
      <c r="A453" s="5"/>
      <c r="B453" s="2"/>
      <c r="C453" s="2"/>
      <c r="D453" s="2"/>
      <c r="E453" s="3"/>
      <c r="F453" s="3"/>
      <c r="G453" s="56"/>
    </row>
    <row r="454" spans="1:7" ht="14.5">
      <c r="A454" s="5"/>
      <c r="B454" s="2"/>
      <c r="C454" s="2"/>
      <c r="D454" s="2"/>
      <c r="E454" s="3"/>
      <c r="F454" s="3"/>
      <c r="G454" s="56"/>
    </row>
    <row r="455" spans="1:7" ht="14.5">
      <c r="A455" s="5"/>
      <c r="B455" s="2"/>
      <c r="C455" s="2"/>
      <c r="D455" s="2"/>
      <c r="E455" s="3"/>
      <c r="F455" s="3"/>
      <c r="G455" s="56"/>
    </row>
    <row r="456" spans="1:7" ht="14.5">
      <c r="A456" s="5"/>
      <c r="B456" s="2"/>
      <c r="C456" s="2"/>
      <c r="D456" s="2"/>
      <c r="E456" s="3"/>
      <c r="F456" s="3"/>
      <c r="G456" s="56"/>
    </row>
    <row r="457" spans="1:7" ht="14.5">
      <c r="A457" s="5"/>
      <c r="B457" s="2"/>
      <c r="C457" s="2"/>
      <c r="D457" s="2"/>
      <c r="E457" s="3"/>
      <c r="F457" s="3"/>
      <c r="G457" s="56"/>
    </row>
    <row r="458" spans="1:7" ht="14.5">
      <c r="A458" s="5"/>
      <c r="B458" s="2"/>
      <c r="C458" s="2"/>
      <c r="D458" s="2"/>
      <c r="E458" s="3"/>
      <c r="F458" s="3"/>
      <c r="G458" s="56"/>
    </row>
    <row r="459" spans="1:7" ht="14.5">
      <c r="A459" s="5"/>
      <c r="B459" s="2"/>
      <c r="C459" s="2"/>
      <c r="D459" s="2"/>
      <c r="E459" s="3"/>
      <c r="F459" s="3"/>
      <c r="G459" s="56"/>
    </row>
    <row r="460" spans="1:7" ht="14.5">
      <c r="A460" s="5"/>
      <c r="B460" s="2"/>
      <c r="C460" s="2"/>
      <c r="D460" s="2"/>
      <c r="E460" s="3"/>
      <c r="F460" s="3"/>
      <c r="G460" s="56"/>
    </row>
    <row r="461" spans="1:7" ht="14.5">
      <c r="A461" s="5"/>
      <c r="B461" s="2"/>
      <c r="C461" s="2"/>
      <c r="D461" s="2"/>
      <c r="E461" s="3"/>
      <c r="F461" s="3"/>
      <c r="G461" s="56"/>
    </row>
    <row r="462" spans="1:7" ht="14.5">
      <c r="A462" s="5"/>
      <c r="B462" s="2"/>
      <c r="C462" s="2"/>
      <c r="D462" s="2"/>
      <c r="E462" s="3"/>
      <c r="F462" s="3"/>
      <c r="G462" s="56"/>
    </row>
    <row r="463" spans="1:7" ht="14.5">
      <c r="A463" s="5"/>
      <c r="B463" s="2"/>
      <c r="C463" s="2"/>
      <c r="D463" s="2"/>
      <c r="E463" s="3"/>
      <c r="F463" s="3"/>
      <c r="G463" s="56"/>
    </row>
    <row r="464" spans="1:7" ht="14.5">
      <c r="A464" s="5"/>
      <c r="B464" s="2"/>
      <c r="C464" s="2"/>
      <c r="D464" s="2"/>
      <c r="E464" s="3"/>
      <c r="F464" s="3"/>
      <c r="G464" s="56"/>
    </row>
    <row r="465" spans="1:7" ht="14.5">
      <c r="A465" s="5"/>
      <c r="B465" s="2"/>
      <c r="C465" s="2"/>
      <c r="D465" s="2"/>
      <c r="E465" s="3"/>
      <c r="F465" s="3"/>
      <c r="G465" s="56"/>
    </row>
    <row r="466" spans="1:7" ht="14.5">
      <c r="A466" s="5"/>
      <c r="B466" s="2"/>
      <c r="C466" s="2"/>
      <c r="D466" s="2"/>
      <c r="E466" s="3"/>
      <c r="F466" s="3"/>
      <c r="G466" s="56"/>
    </row>
    <row r="467" spans="1:7" ht="14.5">
      <c r="A467" s="5"/>
      <c r="B467" s="2"/>
      <c r="C467" s="2"/>
      <c r="D467" s="2"/>
      <c r="E467" s="3"/>
      <c r="F467" s="3"/>
      <c r="G467" s="56"/>
    </row>
    <row r="468" spans="1:7" ht="14.5">
      <c r="A468" s="5"/>
      <c r="B468" s="2"/>
      <c r="C468" s="2"/>
      <c r="D468" s="2"/>
      <c r="E468" s="3"/>
      <c r="F468" s="3"/>
      <c r="G468" s="56"/>
    </row>
    <row r="469" spans="1:7" ht="14.5">
      <c r="A469" s="5"/>
      <c r="B469" s="2"/>
      <c r="C469" s="2"/>
      <c r="D469" s="2"/>
      <c r="E469" s="3"/>
      <c r="F469" s="3"/>
      <c r="G469" s="56"/>
    </row>
    <row r="470" spans="1:7" ht="14.5">
      <c r="A470" s="5"/>
      <c r="B470" s="2"/>
      <c r="C470" s="2"/>
      <c r="D470" s="2"/>
      <c r="E470" s="3"/>
      <c r="F470" s="3"/>
      <c r="G470" s="56"/>
    </row>
    <row r="471" spans="1:7" ht="14.5">
      <c r="A471" s="5"/>
      <c r="B471" s="2"/>
      <c r="C471" s="2"/>
      <c r="D471" s="2"/>
      <c r="E471" s="3"/>
      <c r="F471" s="3"/>
      <c r="G471" s="56"/>
    </row>
    <row r="472" spans="1:7" ht="14.5">
      <c r="A472" s="5"/>
      <c r="B472" s="2"/>
      <c r="C472" s="2"/>
      <c r="D472" s="2"/>
      <c r="E472" s="3"/>
      <c r="F472" s="3"/>
      <c r="G472" s="56"/>
    </row>
    <row r="473" spans="1:7" ht="14.5">
      <c r="A473" s="5"/>
      <c r="B473" s="2"/>
      <c r="C473" s="2"/>
      <c r="D473" s="2"/>
      <c r="E473" s="3"/>
      <c r="F473" s="3"/>
      <c r="G473" s="56"/>
    </row>
    <row r="474" spans="1:7" ht="14.5">
      <c r="A474" s="5"/>
      <c r="B474" s="2"/>
      <c r="C474" s="2"/>
      <c r="D474" s="2"/>
      <c r="E474" s="3"/>
      <c r="F474" s="3"/>
      <c r="G474" s="56"/>
    </row>
    <row r="475" spans="1:7" ht="14.5">
      <c r="A475" s="5"/>
      <c r="B475" s="2"/>
      <c r="C475" s="2"/>
      <c r="D475" s="2"/>
      <c r="E475" s="3"/>
      <c r="F475" s="3"/>
      <c r="G475" s="56"/>
    </row>
    <row r="476" spans="1:7" ht="14.5">
      <c r="A476" s="5"/>
      <c r="B476" s="2"/>
      <c r="C476" s="2"/>
      <c r="D476" s="2"/>
      <c r="E476" s="3"/>
      <c r="F476" s="3"/>
      <c r="G476" s="56"/>
    </row>
    <row r="477" spans="1:7" ht="14.5">
      <c r="A477" s="5"/>
      <c r="B477" s="2"/>
      <c r="C477" s="2"/>
      <c r="D477" s="2"/>
      <c r="E477" s="3"/>
      <c r="F477" s="3"/>
      <c r="G477" s="56"/>
    </row>
    <row r="478" spans="1:7" ht="14.5">
      <c r="A478" s="5"/>
      <c r="B478" s="2"/>
      <c r="C478" s="2"/>
      <c r="D478" s="2"/>
      <c r="E478" s="3"/>
      <c r="F478" s="3"/>
      <c r="G478" s="56"/>
    </row>
    <row r="479" spans="1:7" ht="14.5">
      <c r="A479" s="5"/>
      <c r="B479" s="2"/>
      <c r="C479" s="2"/>
      <c r="D479" s="2"/>
      <c r="E479" s="3"/>
      <c r="F479" s="3"/>
      <c r="G479" s="56"/>
    </row>
    <row r="480" spans="1:7" ht="14.5">
      <c r="A480" s="5"/>
      <c r="B480" s="2"/>
      <c r="C480" s="2"/>
      <c r="D480" s="2"/>
      <c r="E480" s="3"/>
      <c r="F480" s="3"/>
      <c r="G480" s="56"/>
    </row>
    <row r="481" spans="1:7" ht="14.5">
      <c r="A481" s="5"/>
      <c r="B481" s="2"/>
      <c r="C481" s="2"/>
      <c r="D481" s="2"/>
      <c r="E481" s="3"/>
      <c r="F481" s="3"/>
      <c r="G481" s="56"/>
    </row>
    <row r="482" spans="1:7" ht="14.5">
      <c r="A482" s="5"/>
      <c r="B482" s="2"/>
      <c r="C482" s="2"/>
      <c r="D482" s="2"/>
      <c r="E482" s="3"/>
      <c r="F482" s="3"/>
      <c r="G482" s="56"/>
    </row>
    <row r="483" spans="1:7" ht="14.5">
      <c r="A483" s="5"/>
      <c r="B483" s="2"/>
      <c r="C483" s="2"/>
      <c r="D483" s="2"/>
      <c r="E483" s="3"/>
      <c r="F483" s="3"/>
      <c r="G483" s="56"/>
    </row>
    <row r="484" spans="1:7" ht="14.5">
      <c r="A484" s="5"/>
      <c r="B484" s="2"/>
      <c r="C484" s="2"/>
      <c r="D484" s="2"/>
      <c r="E484" s="3"/>
      <c r="F484" s="3"/>
      <c r="G484" s="56"/>
    </row>
    <row r="485" spans="1:7" ht="14.5">
      <c r="A485" s="5"/>
      <c r="B485" s="2"/>
      <c r="C485" s="2"/>
      <c r="D485" s="2"/>
      <c r="E485" s="3"/>
      <c r="F485" s="3"/>
      <c r="G485" s="56"/>
    </row>
    <row r="486" spans="1:7" ht="14.5">
      <c r="A486" s="5"/>
      <c r="B486" s="2"/>
      <c r="C486" s="2"/>
      <c r="D486" s="2"/>
      <c r="E486" s="3"/>
      <c r="F486" s="3"/>
      <c r="G486" s="56"/>
    </row>
    <row r="487" spans="1:7" ht="14.5">
      <c r="A487" s="5"/>
      <c r="B487" s="2"/>
      <c r="C487" s="2"/>
      <c r="D487" s="2"/>
      <c r="E487" s="3"/>
      <c r="F487" s="3"/>
      <c r="G487" s="56"/>
    </row>
    <row r="488" spans="1:7" ht="14.5">
      <c r="A488" s="5"/>
      <c r="B488" s="2"/>
      <c r="C488" s="2"/>
      <c r="D488" s="2"/>
      <c r="E488" s="3"/>
      <c r="F488" s="3"/>
      <c r="G488" s="56"/>
    </row>
    <row r="489" spans="1:7" ht="14.5">
      <c r="A489" s="5"/>
      <c r="B489" s="2"/>
      <c r="C489" s="2"/>
      <c r="D489" s="2"/>
      <c r="E489" s="3"/>
      <c r="F489" s="3"/>
      <c r="G489" s="56"/>
    </row>
    <row r="490" spans="1:7" ht="14.5">
      <c r="A490" s="5"/>
      <c r="B490" s="2"/>
      <c r="C490" s="2"/>
      <c r="D490" s="2"/>
      <c r="E490" s="3"/>
      <c r="F490" s="3"/>
      <c r="G490" s="56"/>
    </row>
    <row r="491" spans="1:7" ht="14.5">
      <c r="A491" s="5"/>
      <c r="B491" s="2"/>
      <c r="C491" s="2"/>
      <c r="D491" s="2"/>
      <c r="E491" s="3"/>
      <c r="F491" s="3"/>
      <c r="G491" s="56"/>
    </row>
    <row r="492" spans="1:7" ht="14.5">
      <c r="A492" s="5"/>
      <c r="B492" s="2"/>
      <c r="C492" s="2"/>
      <c r="D492" s="2"/>
      <c r="E492" s="3"/>
      <c r="F492" s="3"/>
      <c r="G492" s="56"/>
    </row>
    <row r="493" spans="1:7" ht="14.5">
      <c r="A493" s="5"/>
      <c r="B493" s="2"/>
      <c r="C493" s="2"/>
      <c r="D493" s="2"/>
      <c r="E493" s="3"/>
      <c r="F493" s="3"/>
      <c r="G493" s="56"/>
    </row>
    <row r="494" spans="1:7" ht="14.5">
      <c r="A494" s="5"/>
      <c r="B494" s="2"/>
      <c r="C494" s="2"/>
      <c r="D494" s="2"/>
      <c r="E494" s="3"/>
      <c r="F494" s="3"/>
      <c r="G494" s="56"/>
    </row>
    <row r="495" spans="1:7" ht="14.5">
      <c r="A495" s="5"/>
      <c r="B495" s="2"/>
      <c r="C495" s="2"/>
      <c r="D495" s="2"/>
      <c r="E495" s="3"/>
      <c r="F495" s="3"/>
      <c r="G495" s="56"/>
    </row>
    <row r="496" spans="1:7" ht="14.5">
      <c r="A496" s="5"/>
      <c r="B496" s="2"/>
      <c r="C496" s="2"/>
      <c r="D496" s="2"/>
      <c r="E496" s="3"/>
      <c r="F496" s="3"/>
      <c r="G496" s="56"/>
    </row>
    <row r="497" spans="1:7" ht="14.5">
      <c r="A497" s="5"/>
      <c r="B497" s="2"/>
      <c r="C497" s="2"/>
      <c r="D497" s="2"/>
      <c r="E497" s="3"/>
      <c r="F497" s="3"/>
      <c r="G497" s="56"/>
    </row>
    <row r="498" spans="1:7" ht="14.5">
      <c r="A498" s="5"/>
      <c r="B498" s="2"/>
      <c r="C498" s="2"/>
      <c r="D498" s="2"/>
      <c r="E498" s="3"/>
      <c r="F498" s="3"/>
      <c r="G498" s="56"/>
    </row>
    <row r="499" spans="1:7" ht="14.5">
      <c r="A499" s="5"/>
      <c r="B499" s="2"/>
      <c r="C499" s="2"/>
      <c r="D499" s="2"/>
      <c r="E499" s="3"/>
      <c r="F499" s="3"/>
      <c r="G499" s="56"/>
    </row>
    <row r="500" spans="1:7" ht="14.5">
      <c r="A500" s="5"/>
      <c r="B500" s="2"/>
      <c r="C500" s="2"/>
      <c r="D500" s="2"/>
      <c r="E500" s="3"/>
      <c r="F500" s="3"/>
      <c r="G500" s="56"/>
    </row>
    <row r="501" spans="1:7" ht="14.5">
      <c r="A501" s="5"/>
      <c r="B501" s="2"/>
      <c r="C501" s="2"/>
      <c r="D501" s="2"/>
      <c r="E501" s="3"/>
      <c r="F501" s="3"/>
      <c r="G501" s="56"/>
    </row>
    <row r="502" spans="1:7" ht="14.5">
      <c r="A502" s="5"/>
      <c r="B502" s="2"/>
      <c r="C502" s="2"/>
      <c r="D502" s="2"/>
      <c r="E502" s="3"/>
      <c r="F502" s="3"/>
      <c r="G502" s="56"/>
    </row>
    <row r="503" spans="1:7" ht="14.5">
      <c r="A503" s="5"/>
      <c r="B503" s="2"/>
      <c r="C503" s="2"/>
      <c r="D503" s="2"/>
      <c r="E503" s="3"/>
      <c r="F503" s="3"/>
      <c r="G503" s="56"/>
    </row>
    <row r="504" spans="1:7" ht="14.5">
      <c r="A504" s="5"/>
      <c r="B504" s="2"/>
      <c r="C504" s="2"/>
      <c r="D504" s="2"/>
      <c r="E504" s="3"/>
      <c r="F504" s="3"/>
      <c r="G504" s="56"/>
    </row>
    <row r="505" spans="1:7" ht="14.5">
      <c r="A505" s="5"/>
      <c r="B505" s="2"/>
      <c r="C505" s="2"/>
      <c r="D505" s="2"/>
      <c r="E505" s="3"/>
      <c r="F505" s="3"/>
      <c r="G505" s="56"/>
    </row>
    <row r="506" spans="1:7" ht="14.5">
      <c r="A506" s="5"/>
      <c r="B506" s="2"/>
      <c r="C506" s="2"/>
      <c r="D506" s="2"/>
      <c r="E506" s="3"/>
      <c r="F506" s="3"/>
      <c r="G506" s="56"/>
    </row>
    <row r="507" spans="1:7" ht="14.5">
      <c r="A507" s="5"/>
      <c r="B507" s="2"/>
      <c r="C507" s="2"/>
      <c r="D507" s="2"/>
      <c r="E507" s="3"/>
      <c r="F507" s="3"/>
      <c r="G507" s="56"/>
    </row>
    <row r="508" spans="1:7" ht="14.5">
      <c r="A508" s="5"/>
      <c r="B508" s="2"/>
      <c r="C508" s="2"/>
      <c r="D508" s="2"/>
      <c r="E508" s="3"/>
      <c r="F508" s="3"/>
      <c r="G508" s="56"/>
    </row>
    <row r="509" spans="1:7" ht="14.5">
      <c r="A509" s="5"/>
      <c r="B509" s="2"/>
      <c r="C509" s="2"/>
      <c r="D509" s="2"/>
      <c r="E509" s="3"/>
      <c r="F509" s="3"/>
      <c r="G509" s="56"/>
    </row>
    <row r="510" spans="1:7" ht="14.5">
      <c r="A510" s="5"/>
      <c r="B510" s="2"/>
      <c r="C510" s="2"/>
      <c r="D510" s="2"/>
      <c r="E510" s="3"/>
      <c r="F510" s="3"/>
      <c r="G510" s="56"/>
    </row>
    <row r="511" spans="1:7" ht="14.5">
      <c r="A511" s="5"/>
      <c r="B511" s="2"/>
      <c r="C511" s="2"/>
      <c r="D511" s="2"/>
      <c r="E511" s="3"/>
      <c r="F511" s="3"/>
      <c r="G511" s="45"/>
    </row>
    <row r="512" spans="1:7" ht="14.5">
      <c r="A512" s="5"/>
      <c r="B512" s="2"/>
      <c r="C512" s="2"/>
      <c r="D512" s="2"/>
      <c r="E512" s="3"/>
      <c r="F512" s="3"/>
      <c r="G512" s="45"/>
    </row>
    <row r="513" spans="1:7" ht="14.5">
      <c r="A513" s="5"/>
      <c r="B513" s="2"/>
      <c r="C513" s="2"/>
      <c r="D513" s="2"/>
      <c r="E513" s="3"/>
      <c r="F513" s="3"/>
      <c r="G513" s="45"/>
    </row>
    <row r="514" spans="1:7" ht="14.5">
      <c r="A514" s="5"/>
      <c r="B514" s="2"/>
      <c r="C514" s="2"/>
      <c r="D514" s="2"/>
      <c r="E514" s="3"/>
      <c r="F514" s="3"/>
      <c r="G514" s="45"/>
    </row>
    <row r="515" spans="1:7" ht="14.5">
      <c r="A515" s="5"/>
      <c r="B515" s="2"/>
      <c r="C515" s="2"/>
      <c r="D515" s="2"/>
      <c r="E515" s="3"/>
      <c r="F515" s="3"/>
      <c r="G515" s="45"/>
    </row>
    <row r="516" spans="1:7" ht="14.5">
      <c r="A516" s="5"/>
      <c r="B516" s="2"/>
      <c r="C516" s="2"/>
      <c r="D516" s="2"/>
      <c r="E516" s="3"/>
      <c r="F516" s="3"/>
      <c r="G516" s="45"/>
    </row>
    <row r="517" spans="1:7" ht="14.5">
      <c r="A517" s="5"/>
      <c r="B517" s="2"/>
      <c r="C517" s="2"/>
      <c r="D517" s="2"/>
      <c r="E517" s="3"/>
      <c r="F517" s="3"/>
      <c r="G517" s="45"/>
    </row>
    <row r="518" spans="1:7" ht="14.5">
      <c r="A518" s="5"/>
      <c r="B518" s="2"/>
      <c r="C518" s="2"/>
      <c r="D518" s="2"/>
      <c r="E518" s="3"/>
      <c r="F518" s="3"/>
      <c r="G518" s="45"/>
    </row>
    <row r="519" spans="1:7" ht="14.5">
      <c r="A519" s="5"/>
      <c r="B519" s="2"/>
      <c r="C519" s="2"/>
      <c r="D519" s="2"/>
      <c r="E519" s="3"/>
      <c r="F519" s="3"/>
      <c r="G519" s="45"/>
    </row>
    <row r="520" spans="1:7" ht="14.5">
      <c r="A520" s="5"/>
      <c r="B520" s="2"/>
      <c r="C520" s="2"/>
      <c r="D520" s="2"/>
      <c r="E520" s="3"/>
      <c r="F520" s="3"/>
      <c r="G520" s="45"/>
    </row>
    <row r="521" spans="1:7" ht="14.5">
      <c r="A521" s="5"/>
      <c r="B521" s="2"/>
      <c r="C521" s="2"/>
      <c r="D521" s="2"/>
      <c r="E521" s="3"/>
      <c r="F521" s="3"/>
      <c r="G521" s="45"/>
    </row>
    <row r="522" spans="1:7" ht="14.5">
      <c r="A522" s="5"/>
      <c r="B522" s="2"/>
      <c r="C522" s="2"/>
      <c r="D522" s="2"/>
      <c r="E522" s="3"/>
      <c r="F522" s="3"/>
      <c r="G522" s="45"/>
    </row>
    <row r="523" spans="1:7" ht="14.5">
      <c r="A523" s="5"/>
      <c r="B523" s="2"/>
      <c r="C523" s="2"/>
      <c r="D523" s="2"/>
      <c r="E523" s="3"/>
      <c r="F523" s="3"/>
      <c r="G523" s="45"/>
    </row>
    <row r="524" spans="1:7" ht="14.5">
      <c r="A524" s="5"/>
      <c r="B524" s="2"/>
      <c r="C524" s="2"/>
      <c r="D524" s="2"/>
      <c r="E524" s="3"/>
      <c r="F524" s="3"/>
      <c r="G524" s="45"/>
    </row>
    <row r="525" spans="1:7" ht="14.5">
      <c r="A525" s="5"/>
      <c r="B525" s="2"/>
      <c r="C525" s="2"/>
      <c r="D525" s="2"/>
      <c r="E525" s="3"/>
      <c r="F525" s="3"/>
      <c r="G525" s="45"/>
    </row>
    <row r="526" spans="1:7" ht="14.5">
      <c r="A526" s="5"/>
      <c r="B526" s="2"/>
      <c r="C526" s="2"/>
      <c r="D526" s="2"/>
      <c r="E526" s="3"/>
      <c r="F526" s="3"/>
      <c r="G526" s="45"/>
    </row>
    <row r="527" spans="1:7" ht="14.5">
      <c r="A527" s="5"/>
      <c r="B527" s="2"/>
      <c r="C527" s="2"/>
      <c r="D527" s="2"/>
      <c r="E527" s="3"/>
      <c r="F527" s="3"/>
      <c r="G527" s="45"/>
    </row>
    <row r="528" spans="1:7" ht="14.5">
      <c r="A528" s="5"/>
      <c r="B528" s="2"/>
      <c r="C528" s="2"/>
      <c r="D528" s="2"/>
      <c r="E528" s="3"/>
      <c r="F528" s="3"/>
      <c r="G528" s="45"/>
    </row>
    <row r="529" spans="1:7" ht="14.5">
      <c r="A529" s="5"/>
      <c r="B529" s="2"/>
      <c r="C529" s="2"/>
      <c r="D529" s="2"/>
      <c r="E529" s="3"/>
      <c r="F529" s="3"/>
      <c r="G529" s="45"/>
    </row>
    <row r="530" spans="1:7" ht="14.5">
      <c r="A530" s="5"/>
      <c r="B530" s="2"/>
      <c r="C530" s="2"/>
      <c r="D530" s="2"/>
      <c r="E530" s="3"/>
      <c r="F530" s="3"/>
      <c r="G530" s="45"/>
    </row>
    <row r="531" spans="1:7" ht="14.5">
      <c r="A531" s="5"/>
      <c r="B531" s="2"/>
      <c r="C531" s="2"/>
      <c r="D531" s="2"/>
      <c r="E531" s="3"/>
      <c r="F531" s="3"/>
      <c r="G531" s="45"/>
    </row>
    <row r="532" spans="1:7" ht="14.5">
      <c r="A532" s="5"/>
      <c r="B532" s="2"/>
      <c r="C532" s="2"/>
      <c r="D532" s="2"/>
      <c r="E532" s="3"/>
      <c r="F532" s="3"/>
      <c r="G532" s="45"/>
    </row>
    <row r="533" spans="1:7" ht="14.5">
      <c r="A533" s="5"/>
      <c r="B533" s="2"/>
      <c r="C533" s="2"/>
      <c r="D533" s="2"/>
      <c r="E533" s="3"/>
      <c r="F533" s="3"/>
      <c r="G533" s="45"/>
    </row>
    <row r="534" spans="1:7" ht="14.5">
      <c r="A534" s="5"/>
      <c r="B534" s="2"/>
      <c r="C534" s="2"/>
      <c r="D534" s="2"/>
      <c r="E534" s="3"/>
      <c r="F534" s="3"/>
      <c r="G534" s="45"/>
    </row>
    <row r="535" spans="1:7" ht="14.5">
      <c r="A535" s="5"/>
      <c r="B535" s="2"/>
      <c r="C535" s="2"/>
      <c r="D535" s="2"/>
      <c r="E535" s="3"/>
      <c r="F535" s="3"/>
      <c r="G535" s="45"/>
    </row>
    <row r="536" spans="1:7" ht="14.5">
      <c r="A536" s="5"/>
      <c r="B536" s="2"/>
      <c r="C536" s="2"/>
      <c r="D536" s="2"/>
      <c r="E536" s="3"/>
      <c r="F536" s="3"/>
      <c r="G536" s="45"/>
    </row>
    <row r="537" spans="1:7" ht="14.5">
      <c r="A537" s="5"/>
      <c r="B537" s="2"/>
      <c r="C537" s="2"/>
      <c r="D537" s="2"/>
      <c r="E537" s="3"/>
      <c r="F537" s="3"/>
      <c r="G537" s="45"/>
    </row>
    <row r="538" spans="1:7" ht="14.5">
      <c r="A538" s="5"/>
      <c r="B538" s="2"/>
      <c r="C538" s="2"/>
      <c r="D538" s="2"/>
      <c r="E538" s="3"/>
      <c r="F538" s="3"/>
      <c r="G538" s="45"/>
    </row>
    <row r="539" spans="1:7" ht="14.5">
      <c r="A539" s="5"/>
      <c r="B539" s="2"/>
      <c r="C539" s="2"/>
      <c r="D539" s="2"/>
      <c r="E539" s="3"/>
      <c r="F539" s="3"/>
      <c r="G539" s="45"/>
    </row>
    <row r="540" spans="1:7" ht="14.5">
      <c r="A540" s="5"/>
      <c r="B540" s="2"/>
      <c r="C540" s="2"/>
      <c r="D540" s="2"/>
      <c r="E540" s="3"/>
      <c r="F540" s="3"/>
      <c r="G540" s="45"/>
    </row>
    <row r="541" spans="1:7" ht="14.5">
      <c r="A541" s="5"/>
      <c r="B541" s="2"/>
      <c r="C541" s="2"/>
      <c r="D541" s="2"/>
      <c r="E541" s="3"/>
      <c r="F541" s="3"/>
      <c r="G541" s="45"/>
    </row>
    <row r="542" spans="1:7" ht="14.5">
      <c r="A542" s="5"/>
      <c r="B542" s="2"/>
      <c r="C542" s="2"/>
      <c r="D542" s="2"/>
      <c r="E542" s="3"/>
      <c r="F542" s="3"/>
      <c r="G542" s="45"/>
    </row>
    <row r="543" spans="1:7" ht="14.5">
      <c r="A543" s="5"/>
      <c r="B543" s="2"/>
      <c r="C543" s="2"/>
      <c r="D543" s="2"/>
      <c r="E543" s="3"/>
      <c r="F543" s="3"/>
      <c r="G543" s="45"/>
    </row>
    <row r="544" spans="1:7" ht="14.5">
      <c r="A544" s="5"/>
      <c r="B544" s="2"/>
      <c r="C544" s="2"/>
      <c r="D544" s="2"/>
      <c r="E544" s="3"/>
      <c r="F544" s="3"/>
      <c r="G544" s="45"/>
    </row>
    <row r="545" spans="1:7" ht="14.5">
      <c r="A545" s="5"/>
      <c r="B545" s="2"/>
      <c r="C545" s="2"/>
      <c r="D545" s="2"/>
      <c r="E545" s="3"/>
      <c r="F545" s="3"/>
      <c r="G545" s="45"/>
    </row>
    <row r="546" spans="1:7" ht="14.5">
      <c r="A546" s="5"/>
      <c r="B546" s="2"/>
      <c r="C546" s="2"/>
      <c r="D546" s="2"/>
      <c r="E546" s="3"/>
      <c r="F546" s="3"/>
      <c r="G546" s="45"/>
    </row>
    <row r="547" spans="1:7" ht="14.5">
      <c r="A547" s="5"/>
      <c r="B547" s="2"/>
      <c r="C547" s="2"/>
      <c r="D547" s="2"/>
      <c r="E547" s="3"/>
      <c r="F547" s="3"/>
      <c r="G547" s="45"/>
    </row>
    <row r="548" spans="1:7" ht="14.5">
      <c r="A548" s="5"/>
      <c r="B548" s="2"/>
      <c r="C548" s="2"/>
      <c r="D548" s="2"/>
      <c r="E548" s="3"/>
      <c r="F548" s="3"/>
      <c r="G548" s="45"/>
    </row>
    <row r="549" spans="1:7" ht="14.5">
      <c r="A549" s="5"/>
      <c r="B549" s="2"/>
      <c r="C549" s="2"/>
      <c r="D549" s="2"/>
      <c r="E549" s="3"/>
      <c r="F549" s="3"/>
      <c r="G549" s="45"/>
    </row>
    <row r="550" spans="1:7" ht="14.5">
      <c r="A550" s="5"/>
      <c r="B550" s="2"/>
      <c r="C550" s="2"/>
      <c r="D550" s="2"/>
      <c r="E550" s="3"/>
      <c r="F550" s="3"/>
      <c r="G550" s="45"/>
    </row>
    <row r="551" spans="1:7" ht="14.5">
      <c r="A551" s="5"/>
      <c r="B551" s="2"/>
      <c r="C551" s="2"/>
      <c r="D551" s="2"/>
      <c r="E551" s="3"/>
      <c r="F551" s="3"/>
      <c r="G551" s="45"/>
    </row>
    <row r="552" spans="1:7" ht="14.5">
      <c r="A552" s="5"/>
      <c r="B552" s="2"/>
      <c r="C552" s="2"/>
      <c r="D552" s="2"/>
      <c r="E552" s="3"/>
      <c r="F552" s="3"/>
      <c r="G552" s="45"/>
    </row>
    <row r="553" spans="1:7" ht="14.5">
      <c r="A553" s="5"/>
      <c r="B553" s="2"/>
      <c r="C553" s="2"/>
      <c r="D553" s="2"/>
      <c r="E553" s="3"/>
      <c r="F553" s="3"/>
      <c r="G553" s="45"/>
    </row>
    <row r="554" spans="1:7" ht="14.5">
      <c r="A554" s="5"/>
      <c r="B554" s="2"/>
      <c r="C554" s="2"/>
      <c r="D554" s="2"/>
      <c r="E554" s="3"/>
      <c r="F554" s="3"/>
      <c r="G554" s="56"/>
    </row>
    <row r="555" spans="1:7" ht="14.5">
      <c r="A555" s="5"/>
      <c r="B555" s="2"/>
      <c r="C555" s="2"/>
      <c r="D555" s="2"/>
      <c r="E555" s="3"/>
      <c r="F555" s="3"/>
      <c r="G555" s="56"/>
    </row>
    <row r="556" spans="1:7" ht="14.5">
      <c r="A556" s="5"/>
      <c r="B556" s="2"/>
      <c r="C556" s="2"/>
      <c r="D556" s="2"/>
      <c r="E556" s="3"/>
      <c r="F556" s="3"/>
      <c r="G556" s="56"/>
    </row>
    <row r="557" spans="1:7" ht="14.5">
      <c r="A557" s="5"/>
      <c r="B557" s="2"/>
      <c r="C557" s="2"/>
      <c r="D557" s="2"/>
      <c r="E557" s="3"/>
      <c r="F557" s="3"/>
      <c r="G557" s="56"/>
    </row>
    <row r="558" spans="1:7" ht="14.5">
      <c r="A558" s="5"/>
      <c r="B558" s="2"/>
      <c r="C558" s="2"/>
      <c r="D558" s="2"/>
      <c r="E558" s="3"/>
      <c r="F558" s="3"/>
      <c r="G558" s="56"/>
    </row>
    <row r="559" spans="1:7" ht="14.5">
      <c r="A559" s="5"/>
      <c r="B559" s="2"/>
      <c r="C559" s="2"/>
      <c r="D559" s="2"/>
      <c r="E559" s="3"/>
      <c r="F559" s="3"/>
      <c r="G559" s="56"/>
    </row>
    <row r="560" spans="1:7" ht="14.5">
      <c r="A560" s="5"/>
      <c r="B560" s="2"/>
      <c r="C560" s="2"/>
      <c r="D560" s="2"/>
      <c r="E560" s="3"/>
      <c r="F560" s="3"/>
      <c r="G560" s="56"/>
    </row>
    <row r="561" spans="1:7" ht="14.5">
      <c r="A561" s="5"/>
      <c r="B561" s="2"/>
      <c r="C561" s="2"/>
      <c r="D561" s="2"/>
      <c r="E561" s="3"/>
      <c r="F561" s="3"/>
      <c r="G561" s="56"/>
    </row>
    <row r="562" spans="1:7" ht="14.5">
      <c r="A562" s="5"/>
      <c r="B562" s="2"/>
      <c r="C562" s="2"/>
      <c r="D562" s="2"/>
      <c r="E562" s="3"/>
      <c r="F562" s="3"/>
      <c r="G562" s="56"/>
    </row>
    <row r="563" spans="1:7" ht="14.5">
      <c r="A563" s="5"/>
      <c r="B563" s="2"/>
      <c r="C563" s="2"/>
      <c r="D563" s="2"/>
      <c r="E563" s="3"/>
      <c r="F563" s="3"/>
      <c r="G563" s="56"/>
    </row>
    <row r="564" spans="1:7" ht="14.5">
      <c r="A564" s="5"/>
      <c r="B564" s="2"/>
      <c r="C564" s="2"/>
      <c r="D564" s="2"/>
      <c r="E564" s="3"/>
      <c r="F564" s="3"/>
      <c r="G564" s="56"/>
    </row>
    <row r="565" spans="1:7" ht="14.5">
      <c r="A565" s="5"/>
      <c r="B565" s="2"/>
      <c r="C565" s="2"/>
      <c r="D565" s="2"/>
      <c r="E565" s="3"/>
      <c r="F565" s="3"/>
      <c r="G565" s="56"/>
    </row>
    <row r="566" spans="1:7" ht="14.5">
      <c r="A566" s="5"/>
      <c r="B566" s="2"/>
      <c r="C566" s="2"/>
      <c r="D566" s="2"/>
      <c r="E566" s="3"/>
      <c r="F566" s="3"/>
      <c r="G566" s="56"/>
    </row>
    <row r="567" spans="1:7" ht="14.5">
      <c r="A567" s="5"/>
      <c r="B567" s="2"/>
      <c r="C567" s="2"/>
      <c r="D567" s="2"/>
      <c r="E567" s="3"/>
      <c r="F567" s="3"/>
      <c r="G567" s="56"/>
    </row>
    <row r="568" spans="1:7" ht="14.5">
      <c r="A568" s="5"/>
      <c r="B568" s="2"/>
      <c r="C568" s="2"/>
      <c r="D568" s="2"/>
      <c r="E568" s="3"/>
      <c r="F568" s="3"/>
      <c r="G568" s="56"/>
    </row>
    <row r="569" spans="1:7" ht="14.5">
      <c r="A569" s="5"/>
      <c r="B569" s="2"/>
      <c r="C569" s="2"/>
      <c r="D569" s="2"/>
      <c r="E569" s="3"/>
      <c r="F569" s="3"/>
      <c r="G569" s="56"/>
    </row>
    <row r="570" spans="1:7" ht="14.5">
      <c r="A570" s="5"/>
      <c r="B570" s="2"/>
      <c r="C570" s="2"/>
      <c r="D570" s="2"/>
      <c r="E570" s="3"/>
      <c r="F570" s="3"/>
      <c r="G570" s="56"/>
    </row>
    <row r="571" spans="1:7" ht="14.5">
      <c r="A571" s="5"/>
      <c r="B571" s="2"/>
      <c r="C571" s="2"/>
      <c r="D571" s="2"/>
      <c r="E571" s="3"/>
      <c r="F571" s="3"/>
      <c r="G571" s="56"/>
    </row>
    <row r="572" spans="1:7" ht="14.5">
      <c r="A572" s="5"/>
      <c r="B572" s="2"/>
      <c r="C572" s="2"/>
      <c r="D572" s="2"/>
      <c r="E572" s="3"/>
      <c r="F572" s="3"/>
      <c r="G572" s="56"/>
    </row>
    <row r="573" spans="1:7" ht="14.5">
      <c r="A573" s="5"/>
      <c r="B573" s="2"/>
      <c r="C573" s="2"/>
      <c r="D573" s="2"/>
      <c r="E573" s="3"/>
      <c r="F573" s="3"/>
      <c r="G573" s="56"/>
    </row>
    <row r="574" spans="1:7" ht="14.5">
      <c r="A574" s="5"/>
      <c r="B574" s="2"/>
      <c r="C574" s="2"/>
      <c r="D574" s="2"/>
      <c r="E574" s="3"/>
      <c r="F574" s="3"/>
      <c r="G574" s="56"/>
    </row>
    <row r="575" spans="1:7" ht="14.5">
      <c r="A575" s="5"/>
      <c r="B575" s="2"/>
      <c r="C575" s="2"/>
      <c r="D575" s="2"/>
      <c r="E575" s="3"/>
      <c r="F575" s="3"/>
      <c r="G575" s="56"/>
    </row>
    <row r="576" spans="1:7" ht="14.5">
      <c r="A576" s="5"/>
      <c r="B576" s="2"/>
      <c r="C576" s="2"/>
      <c r="D576" s="2"/>
      <c r="E576" s="3"/>
      <c r="F576" s="3"/>
      <c r="G576" s="56"/>
    </row>
    <row r="577" spans="1:7" ht="14.5">
      <c r="A577" s="5"/>
      <c r="B577" s="2"/>
      <c r="C577" s="2"/>
      <c r="D577" s="2"/>
      <c r="E577" s="3"/>
      <c r="F577" s="3"/>
      <c r="G577" s="56"/>
    </row>
    <row r="578" spans="1:7" ht="14.5">
      <c r="A578" s="5"/>
      <c r="B578" s="2"/>
      <c r="C578" s="2"/>
      <c r="D578" s="2"/>
      <c r="E578" s="3"/>
      <c r="F578" s="3"/>
      <c r="G578" s="56"/>
    </row>
    <row r="579" spans="1:7" ht="14.5">
      <c r="A579" s="5"/>
      <c r="B579" s="2"/>
      <c r="C579" s="2"/>
      <c r="D579" s="2"/>
      <c r="E579" s="3"/>
      <c r="F579" s="3"/>
      <c r="G579" s="56"/>
    </row>
    <row r="580" spans="1:7" ht="14.5">
      <c r="A580" s="5"/>
      <c r="B580" s="2"/>
      <c r="C580" s="2"/>
      <c r="D580" s="2"/>
      <c r="E580" s="3"/>
      <c r="F580" s="3"/>
      <c r="G580" s="56"/>
    </row>
    <row r="581" spans="1:7" ht="14.5">
      <c r="A581" s="5"/>
      <c r="B581" s="2"/>
      <c r="C581" s="2"/>
      <c r="D581" s="2"/>
      <c r="E581" s="3"/>
      <c r="F581" s="3"/>
      <c r="G581" s="56"/>
    </row>
    <row r="582" spans="1:7" ht="14.5">
      <c r="A582" s="5"/>
      <c r="B582" s="2"/>
      <c r="C582" s="2"/>
      <c r="D582" s="2"/>
      <c r="E582" s="3"/>
      <c r="F582" s="3"/>
      <c r="G582" s="56"/>
    </row>
    <row r="583" spans="1:7" ht="14.5">
      <c r="A583" s="5"/>
      <c r="B583" s="2"/>
      <c r="C583" s="2"/>
      <c r="D583" s="2"/>
      <c r="E583" s="3"/>
      <c r="F583" s="3"/>
      <c r="G583" s="56"/>
    </row>
    <row r="584" spans="1:7" ht="14.5">
      <c r="A584" s="5"/>
      <c r="B584" s="2"/>
      <c r="C584" s="2"/>
      <c r="D584" s="2"/>
      <c r="E584" s="3"/>
      <c r="F584" s="3"/>
      <c r="G584" s="56"/>
    </row>
    <row r="585" spans="1:7" ht="14.5">
      <c r="A585" s="5"/>
      <c r="B585" s="2"/>
      <c r="C585" s="2"/>
      <c r="D585" s="2"/>
      <c r="E585" s="3"/>
      <c r="F585" s="3"/>
      <c r="G585" s="56"/>
    </row>
    <row r="586" spans="1:7" ht="14.5">
      <c r="A586" s="5"/>
      <c r="B586" s="2"/>
      <c r="C586" s="2"/>
      <c r="D586" s="2"/>
      <c r="E586" s="3"/>
      <c r="F586" s="3"/>
      <c r="G586" s="56"/>
    </row>
    <row r="587" spans="1:7" ht="14.5">
      <c r="A587" s="5"/>
      <c r="B587" s="2"/>
      <c r="C587" s="2"/>
      <c r="D587" s="2"/>
      <c r="E587" s="3"/>
      <c r="F587" s="3"/>
      <c r="G587" s="56"/>
    </row>
    <row r="588" spans="1:7" ht="14.5">
      <c r="A588" s="5"/>
      <c r="B588" s="2"/>
      <c r="C588" s="2"/>
      <c r="D588" s="2"/>
      <c r="E588" s="3"/>
      <c r="F588" s="3"/>
      <c r="G588" s="56"/>
    </row>
    <row r="589" spans="1:7" ht="14.5">
      <c r="A589" s="5"/>
      <c r="B589" s="2"/>
      <c r="C589" s="2"/>
      <c r="D589" s="2"/>
      <c r="E589" s="3"/>
      <c r="F589" s="3"/>
      <c r="G589" s="56"/>
    </row>
    <row r="590" spans="1:7" ht="14.5">
      <c r="A590" s="5"/>
      <c r="B590" s="2"/>
      <c r="C590" s="2"/>
      <c r="D590" s="2"/>
      <c r="E590" s="3"/>
      <c r="F590" s="3"/>
      <c r="G590" s="56"/>
    </row>
    <row r="591" spans="1:7" ht="14.5">
      <c r="A591" s="5"/>
      <c r="B591" s="2"/>
      <c r="C591" s="2"/>
      <c r="D591" s="2"/>
      <c r="E591" s="3"/>
      <c r="F591" s="3"/>
      <c r="G591" s="56"/>
    </row>
    <row r="592" spans="1:7" ht="14.5">
      <c r="A592" s="5"/>
      <c r="B592" s="2"/>
      <c r="C592" s="2"/>
      <c r="D592" s="2"/>
      <c r="E592" s="3"/>
      <c r="F592" s="3"/>
      <c r="G592" s="56"/>
    </row>
    <row r="593" spans="1:7" ht="14.5">
      <c r="A593" s="5"/>
      <c r="B593" s="2"/>
      <c r="C593" s="2"/>
      <c r="D593" s="2"/>
      <c r="E593" s="3"/>
      <c r="F593" s="3"/>
      <c r="G593" s="56"/>
    </row>
    <row r="594" spans="1:7" ht="14.5">
      <c r="A594" s="5"/>
      <c r="B594" s="2"/>
      <c r="C594" s="2"/>
      <c r="D594" s="2"/>
      <c r="E594" s="3"/>
      <c r="F594" s="3"/>
      <c r="G594" s="56"/>
    </row>
    <row r="595" spans="1:7" ht="14.5">
      <c r="A595" s="5"/>
      <c r="B595" s="2"/>
      <c r="C595" s="2"/>
      <c r="D595" s="2"/>
      <c r="E595" s="3"/>
      <c r="F595" s="3"/>
      <c r="G595" s="56"/>
    </row>
    <row r="596" spans="1:7" ht="14.5">
      <c r="A596" s="5"/>
      <c r="B596" s="2"/>
      <c r="C596" s="2"/>
      <c r="D596" s="2"/>
      <c r="E596" s="3"/>
      <c r="F596" s="3"/>
      <c r="G596" s="56"/>
    </row>
    <row r="597" spans="1:7" ht="14.5">
      <c r="A597" s="5"/>
      <c r="B597" s="2"/>
      <c r="C597" s="2"/>
      <c r="D597" s="2"/>
      <c r="E597" s="3"/>
      <c r="F597" s="3"/>
      <c r="G597" s="56"/>
    </row>
    <row r="598" spans="1:7" ht="14.5">
      <c r="A598" s="5"/>
      <c r="B598" s="2"/>
      <c r="C598" s="2"/>
      <c r="D598" s="2"/>
      <c r="E598" s="3"/>
      <c r="F598" s="3"/>
      <c r="G598" s="56"/>
    </row>
    <row r="599" spans="1:7" ht="14.5">
      <c r="A599" s="5"/>
      <c r="B599" s="2"/>
      <c r="C599" s="2"/>
      <c r="D599" s="2"/>
      <c r="E599" s="3"/>
      <c r="F599" s="3"/>
      <c r="G599" s="56"/>
    </row>
    <row r="600" spans="1:7" ht="14.5">
      <c r="A600" s="5"/>
      <c r="B600" s="2"/>
      <c r="C600" s="2"/>
      <c r="D600" s="2"/>
      <c r="E600" s="3"/>
      <c r="F600" s="3"/>
      <c r="G600" s="56"/>
    </row>
    <row r="601" spans="1:7" ht="14.5">
      <c r="A601" s="5"/>
      <c r="B601" s="2"/>
      <c r="C601" s="2"/>
      <c r="D601" s="2"/>
      <c r="E601" s="3"/>
      <c r="F601" s="3"/>
      <c r="G601" s="56"/>
    </row>
    <row r="602" spans="1:7" ht="14.5">
      <c r="A602" s="5"/>
      <c r="B602" s="2"/>
      <c r="C602" s="2"/>
      <c r="D602" s="2"/>
      <c r="E602" s="3"/>
      <c r="F602" s="3"/>
      <c r="G602" s="56"/>
    </row>
    <row r="603" spans="1:7" ht="14.5">
      <c r="A603" s="5"/>
      <c r="B603" s="2"/>
      <c r="C603" s="2"/>
      <c r="D603" s="2"/>
      <c r="E603" s="3"/>
      <c r="F603" s="3"/>
      <c r="G603" s="56"/>
    </row>
    <row r="604" spans="1:7" ht="14.5">
      <c r="A604" s="5"/>
      <c r="B604" s="2"/>
      <c r="C604" s="2"/>
      <c r="D604" s="2"/>
      <c r="E604" s="3"/>
      <c r="F604" s="3"/>
      <c r="G604" s="56"/>
    </row>
    <row r="605" spans="1:7" ht="14.5">
      <c r="A605" s="5"/>
      <c r="B605" s="2"/>
      <c r="C605" s="2"/>
      <c r="D605" s="2"/>
      <c r="E605" s="3"/>
      <c r="F605" s="3"/>
      <c r="G605" s="56"/>
    </row>
    <row r="606" spans="1:7" ht="14.5">
      <c r="A606" s="5"/>
      <c r="B606" s="2"/>
      <c r="C606" s="2"/>
      <c r="D606" s="2"/>
      <c r="E606" s="3"/>
      <c r="F606" s="3"/>
      <c r="G606" s="56"/>
    </row>
    <row r="607" spans="1:7" ht="14.5">
      <c r="A607" s="5"/>
      <c r="B607" s="2"/>
      <c r="C607" s="2"/>
      <c r="D607" s="2"/>
      <c r="E607" s="3"/>
      <c r="F607" s="3"/>
      <c r="G607" s="56"/>
    </row>
    <row r="608" spans="1:7" ht="14.5">
      <c r="A608" s="5"/>
      <c r="B608" s="2"/>
      <c r="C608" s="2"/>
      <c r="D608" s="2"/>
      <c r="E608" s="3"/>
      <c r="F608" s="3"/>
      <c r="G608" s="56"/>
    </row>
    <row r="609" spans="1:7" ht="14.5">
      <c r="A609" s="5"/>
      <c r="B609" s="2"/>
      <c r="C609" s="2"/>
      <c r="D609" s="2"/>
      <c r="E609" s="3"/>
      <c r="F609" s="3"/>
      <c r="G609" s="56"/>
    </row>
    <row r="610" spans="1:7" ht="14.5">
      <c r="A610" s="5"/>
      <c r="B610" s="2"/>
      <c r="C610" s="2"/>
      <c r="D610" s="2"/>
      <c r="E610" s="3"/>
      <c r="F610" s="3"/>
      <c r="G610" s="56"/>
    </row>
    <row r="611" spans="1:7" ht="14.5">
      <c r="A611" s="5"/>
      <c r="B611" s="2"/>
      <c r="C611" s="2"/>
      <c r="D611" s="2"/>
      <c r="E611" s="3"/>
      <c r="F611" s="3"/>
      <c r="G611" s="56"/>
    </row>
    <row r="612" spans="1:7" ht="14.5">
      <c r="A612" s="5"/>
      <c r="B612" s="2"/>
      <c r="C612" s="2"/>
      <c r="D612" s="2"/>
      <c r="E612" s="3"/>
      <c r="F612" s="3"/>
      <c r="G612" s="56"/>
    </row>
    <row r="613" spans="1:7" ht="14.5">
      <c r="A613" s="5"/>
      <c r="B613" s="2"/>
      <c r="C613" s="2"/>
      <c r="D613" s="2"/>
      <c r="E613" s="3"/>
      <c r="F613" s="3"/>
      <c r="G613" s="56"/>
    </row>
    <row r="614" spans="1:7" ht="14.5">
      <c r="A614" s="5"/>
      <c r="B614" s="2"/>
      <c r="C614" s="2"/>
      <c r="D614" s="2"/>
      <c r="E614" s="3"/>
      <c r="F614" s="3"/>
      <c r="G614" s="56"/>
    </row>
    <row r="615" spans="1:7" ht="14.5">
      <c r="A615" s="5"/>
      <c r="B615" s="2"/>
      <c r="C615" s="2"/>
      <c r="D615" s="2"/>
      <c r="E615" s="3"/>
      <c r="F615" s="3"/>
      <c r="G615" s="56"/>
    </row>
    <row r="616" spans="1:7" ht="14.5">
      <c r="A616" s="5"/>
      <c r="B616" s="2"/>
      <c r="C616" s="2"/>
      <c r="D616" s="2"/>
      <c r="E616" s="3"/>
      <c r="F616" s="3"/>
      <c r="G616" s="56"/>
    </row>
    <row r="617" spans="1:7" ht="14.5">
      <c r="A617" s="5"/>
      <c r="B617" s="2"/>
      <c r="C617" s="2"/>
      <c r="D617" s="2"/>
      <c r="E617" s="3"/>
      <c r="F617" s="3"/>
      <c r="G617" s="56"/>
    </row>
    <row r="618" spans="1:7" ht="14.5">
      <c r="A618" s="5"/>
      <c r="B618" s="2"/>
      <c r="C618" s="2"/>
      <c r="D618" s="2"/>
      <c r="E618" s="3"/>
      <c r="F618" s="3"/>
      <c r="G618" s="56"/>
    </row>
    <row r="619" spans="1:7" ht="14.5">
      <c r="A619" s="5"/>
      <c r="B619" s="2"/>
      <c r="C619" s="2"/>
      <c r="D619" s="2"/>
      <c r="E619" s="3"/>
      <c r="F619" s="3"/>
      <c r="G619" s="56"/>
    </row>
    <row r="620" spans="1:7" ht="14.5">
      <c r="A620" s="5"/>
      <c r="B620" s="2"/>
      <c r="C620" s="2"/>
      <c r="D620" s="2"/>
      <c r="E620" s="3"/>
      <c r="F620" s="3"/>
      <c r="G620" s="56"/>
    </row>
    <row r="621" spans="1:7" ht="14.5">
      <c r="A621" s="5"/>
      <c r="B621" s="2"/>
      <c r="C621" s="2"/>
      <c r="D621" s="2"/>
      <c r="E621" s="3"/>
      <c r="F621" s="3"/>
      <c r="G621" s="56"/>
    </row>
    <row r="622" spans="1:7" ht="14.5">
      <c r="A622" s="5"/>
      <c r="B622" s="2"/>
      <c r="C622" s="2"/>
      <c r="D622" s="2"/>
      <c r="E622" s="3"/>
      <c r="F622" s="3"/>
      <c r="G622" s="56"/>
    </row>
    <row r="623" spans="1:7" ht="14.5">
      <c r="A623" s="5"/>
      <c r="B623" s="2"/>
      <c r="C623" s="2"/>
      <c r="D623" s="2"/>
      <c r="E623" s="3"/>
      <c r="F623" s="3"/>
      <c r="G623" s="56"/>
    </row>
    <row r="624" spans="1:7" ht="14.5">
      <c r="A624" s="5"/>
      <c r="B624" s="2"/>
      <c r="C624" s="2"/>
      <c r="D624" s="2"/>
      <c r="E624" s="3"/>
      <c r="F624" s="3"/>
      <c r="G624" s="56"/>
    </row>
    <row r="625" spans="1:7" ht="14.5">
      <c r="A625" s="5"/>
      <c r="B625" s="2"/>
      <c r="C625" s="2"/>
      <c r="D625" s="2"/>
      <c r="E625" s="3"/>
      <c r="F625" s="3"/>
      <c r="G625" s="56"/>
    </row>
    <row r="626" spans="1:7" ht="14.5">
      <c r="A626" s="5"/>
      <c r="B626" s="2"/>
      <c r="C626" s="2"/>
      <c r="D626" s="2"/>
      <c r="E626" s="3"/>
      <c r="F626" s="3"/>
      <c r="G626" s="56"/>
    </row>
    <row r="627" spans="1:7" ht="14.5">
      <c r="A627" s="5"/>
      <c r="B627" s="2"/>
      <c r="C627" s="2"/>
      <c r="D627" s="2"/>
      <c r="E627" s="3"/>
      <c r="F627" s="3"/>
      <c r="G627" s="56"/>
    </row>
    <row r="628" spans="1:7" ht="14.5">
      <c r="A628" s="5"/>
      <c r="B628" s="2"/>
      <c r="C628" s="2"/>
      <c r="D628" s="2"/>
      <c r="E628" s="3"/>
      <c r="F628" s="3"/>
      <c r="G628" s="56"/>
    </row>
    <row r="629" spans="1:7" ht="14.5">
      <c r="A629" s="5"/>
      <c r="B629" s="2"/>
      <c r="C629" s="2"/>
      <c r="D629" s="2"/>
      <c r="E629" s="3"/>
      <c r="F629" s="3"/>
      <c r="G629" s="56"/>
    </row>
    <row r="630" spans="1:7" ht="14.5">
      <c r="A630" s="5"/>
      <c r="B630" s="2"/>
      <c r="C630" s="2"/>
      <c r="D630" s="2"/>
      <c r="E630" s="3"/>
      <c r="F630" s="3"/>
      <c r="G630" s="56"/>
    </row>
    <row r="631" spans="1:7" ht="14.5">
      <c r="A631" s="5"/>
      <c r="B631" s="2"/>
      <c r="C631" s="2"/>
      <c r="D631" s="2"/>
      <c r="E631" s="3"/>
      <c r="F631" s="3"/>
      <c r="G631" s="56"/>
    </row>
    <row r="632" spans="1:7" ht="14.5">
      <c r="A632" s="5"/>
      <c r="B632" s="2"/>
      <c r="C632" s="2"/>
      <c r="D632" s="2"/>
      <c r="E632" s="3"/>
      <c r="F632" s="3"/>
      <c r="G632" s="56"/>
    </row>
    <row r="633" spans="1:7" ht="14.5">
      <c r="A633" s="5"/>
      <c r="B633" s="2"/>
      <c r="C633" s="2"/>
      <c r="D633" s="2"/>
      <c r="E633" s="3"/>
      <c r="F633" s="3"/>
      <c r="G633" s="56"/>
    </row>
    <row r="634" spans="1:7" ht="14.5">
      <c r="A634" s="5"/>
      <c r="B634" s="2"/>
      <c r="C634" s="2"/>
      <c r="D634" s="2"/>
      <c r="E634" s="3"/>
      <c r="F634" s="3"/>
      <c r="G634" s="56"/>
    </row>
    <row r="635" spans="1:7" ht="14.5">
      <c r="A635" s="5"/>
      <c r="B635" s="2"/>
      <c r="C635" s="2"/>
      <c r="D635" s="2"/>
      <c r="E635" s="3"/>
      <c r="F635" s="3"/>
      <c r="G635" s="56"/>
    </row>
    <row r="636" spans="1:7" ht="14.5">
      <c r="A636" s="5"/>
      <c r="B636" s="2"/>
      <c r="C636" s="2"/>
      <c r="D636" s="2"/>
      <c r="E636" s="3"/>
      <c r="F636" s="3"/>
      <c r="G636" s="56"/>
    </row>
    <row r="637" spans="1:7" ht="14.5">
      <c r="A637" s="5"/>
      <c r="B637" s="2"/>
      <c r="C637" s="2"/>
      <c r="D637" s="2"/>
      <c r="E637" s="3"/>
      <c r="F637" s="3"/>
      <c r="G637" s="56"/>
    </row>
    <row r="638" spans="1:7" ht="14.5">
      <c r="A638" s="5"/>
      <c r="B638" s="2"/>
      <c r="C638" s="2"/>
      <c r="D638" s="2"/>
      <c r="E638" s="3"/>
      <c r="F638" s="3"/>
      <c r="G638" s="45"/>
    </row>
    <row r="639" spans="1:7" ht="14.5">
      <c r="A639" s="5"/>
      <c r="B639" s="2"/>
      <c r="C639" s="2"/>
      <c r="D639" s="2"/>
      <c r="E639" s="3"/>
      <c r="F639" s="3"/>
      <c r="G639" s="45"/>
    </row>
    <row r="640" spans="1:7" ht="14.5">
      <c r="A640" s="5"/>
      <c r="B640" s="2"/>
      <c r="C640" s="2"/>
      <c r="D640" s="2"/>
      <c r="E640" s="3"/>
      <c r="F640" s="3"/>
      <c r="G640" s="45"/>
    </row>
    <row r="641" spans="1:7" ht="14.5">
      <c r="A641" s="5"/>
      <c r="B641" s="2"/>
      <c r="C641" s="2"/>
      <c r="D641" s="2"/>
      <c r="E641" s="3"/>
      <c r="F641" s="3"/>
      <c r="G641" s="45"/>
    </row>
    <row r="642" spans="1:7" ht="14.5">
      <c r="A642" s="5"/>
      <c r="B642" s="2"/>
      <c r="C642" s="2"/>
      <c r="D642" s="2"/>
      <c r="E642" s="3"/>
      <c r="F642" s="3"/>
      <c r="G642" s="45"/>
    </row>
    <row r="643" spans="1:7" ht="14.5">
      <c r="A643" s="5"/>
      <c r="B643" s="2"/>
      <c r="C643" s="2"/>
      <c r="D643" s="2"/>
      <c r="E643" s="3"/>
      <c r="F643" s="3"/>
      <c r="G643" s="45"/>
    </row>
    <row r="644" spans="1:7" ht="14.5">
      <c r="A644" s="5"/>
      <c r="B644" s="2"/>
      <c r="C644" s="2"/>
      <c r="D644" s="2"/>
      <c r="E644" s="3"/>
      <c r="F644" s="3"/>
      <c r="G644" s="45"/>
    </row>
    <row r="645" spans="1:7" ht="14.5">
      <c r="A645" s="5"/>
      <c r="B645" s="2"/>
      <c r="C645" s="2"/>
      <c r="D645" s="2"/>
      <c r="E645" s="3"/>
      <c r="F645" s="3"/>
      <c r="G645" s="45"/>
    </row>
    <row r="646" spans="1:7" ht="14.5">
      <c r="A646" s="5"/>
      <c r="B646" s="2"/>
      <c r="C646" s="2"/>
      <c r="D646" s="2"/>
      <c r="E646" s="3"/>
      <c r="F646" s="3"/>
      <c r="G646" s="45"/>
    </row>
    <row r="647" spans="1:7" ht="14.5">
      <c r="A647" s="5"/>
      <c r="B647" s="2"/>
      <c r="C647" s="2"/>
      <c r="D647" s="2"/>
      <c r="E647" s="3"/>
      <c r="F647" s="3"/>
      <c r="G647" s="45"/>
    </row>
    <row r="648" spans="1:7" ht="14.5">
      <c r="A648" s="5"/>
      <c r="B648" s="2"/>
      <c r="C648" s="2"/>
      <c r="D648" s="2"/>
      <c r="E648" s="3"/>
      <c r="F648" s="3"/>
      <c r="G648" s="45"/>
    </row>
    <row r="649" spans="1:7" ht="14.5">
      <c r="A649" s="5"/>
      <c r="B649" s="2"/>
      <c r="C649" s="2"/>
      <c r="D649" s="2"/>
      <c r="E649" s="3"/>
      <c r="F649" s="3"/>
      <c r="G649" s="45"/>
    </row>
    <row r="650" spans="1:7" ht="14.5">
      <c r="A650" s="5"/>
      <c r="B650" s="2"/>
      <c r="C650" s="2"/>
      <c r="D650" s="2"/>
      <c r="E650" s="3"/>
      <c r="F650" s="3"/>
      <c r="G650" s="45"/>
    </row>
    <row r="651" spans="1:7" ht="14.5">
      <c r="A651" s="5"/>
      <c r="B651" s="2"/>
      <c r="C651" s="2"/>
      <c r="D651" s="2"/>
      <c r="E651" s="3"/>
      <c r="F651" s="3"/>
      <c r="G651" s="45"/>
    </row>
    <row r="652" spans="1:7" ht="14.5">
      <c r="A652" s="5"/>
      <c r="B652" s="2"/>
      <c r="C652" s="2"/>
      <c r="D652" s="2"/>
      <c r="E652" s="3"/>
      <c r="F652" s="3"/>
      <c r="G652" s="45"/>
    </row>
    <row r="653" spans="1:7" ht="14.5">
      <c r="A653" s="5"/>
      <c r="B653" s="55"/>
      <c r="C653" s="55"/>
      <c r="D653" s="55"/>
      <c r="E653" s="55"/>
      <c r="F653" s="58"/>
      <c r="G653" s="57"/>
    </row>
    <row r="654" spans="1:7" ht="14.5">
      <c r="A654" s="5"/>
      <c r="B654" s="55"/>
      <c r="C654" s="55"/>
      <c r="D654" s="55"/>
      <c r="E654" s="55"/>
      <c r="F654" s="58"/>
      <c r="G654" s="57"/>
    </row>
    <row r="655" spans="1:7" ht="14.5">
      <c r="A655" s="5"/>
      <c r="B655" s="55"/>
      <c r="C655" s="55"/>
      <c r="D655" s="55"/>
      <c r="E655" s="55"/>
      <c r="F655" s="58"/>
      <c r="G655" s="57"/>
    </row>
    <row r="656" spans="1:7" ht="14.5">
      <c r="A656" s="5"/>
      <c r="B656" s="55"/>
      <c r="C656" s="55"/>
      <c r="D656" s="55"/>
      <c r="E656" s="55"/>
      <c r="F656" s="58"/>
      <c r="G656" s="57"/>
    </row>
    <row r="657" spans="1:7" ht="14.5">
      <c r="A657" s="5"/>
      <c r="B657" s="55"/>
      <c r="C657" s="55"/>
      <c r="D657" s="55"/>
      <c r="E657" s="55"/>
      <c r="F657" s="58"/>
      <c r="G657" s="57"/>
    </row>
    <row r="658" spans="1:7" ht="14.5">
      <c r="A658" s="5"/>
      <c r="B658" s="55"/>
      <c r="C658" s="55"/>
      <c r="D658" s="55"/>
      <c r="E658" s="55"/>
      <c r="F658" s="58"/>
      <c r="G658" s="57"/>
    </row>
    <row r="659" spans="1:7" ht="14.5">
      <c r="A659" s="5"/>
      <c r="B659" s="55"/>
      <c r="C659" s="55"/>
      <c r="D659" s="55"/>
      <c r="E659" s="55"/>
      <c r="F659" s="58"/>
      <c r="G659" s="57"/>
    </row>
    <row r="660" spans="1:7" ht="14.5">
      <c r="A660" s="5"/>
      <c r="B660" s="55"/>
      <c r="C660" s="55"/>
      <c r="D660" s="55"/>
      <c r="E660" s="55"/>
      <c r="F660" s="58"/>
      <c r="G660" s="57"/>
    </row>
    <row r="661" spans="1:7" ht="14.5">
      <c r="A661" s="5"/>
      <c r="B661" s="55"/>
      <c r="C661" s="55"/>
      <c r="D661" s="55"/>
      <c r="E661" s="55"/>
      <c r="F661" s="58"/>
      <c r="G661" s="57"/>
    </row>
    <row r="662" spans="1:7" ht="14.5">
      <c r="A662" s="5"/>
      <c r="B662" s="55"/>
      <c r="C662" s="55"/>
      <c r="D662" s="55"/>
      <c r="E662" s="55"/>
      <c r="F662" s="58"/>
      <c r="G662" s="57"/>
    </row>
    <row r="663" spans="1:7" ht="14.5">
      <c r="A663" s="5"/>
      <c r="B663" s="55"/>
      <c r="C663" s="55"/>
      <c r="D663" s="55"/>
      <c r="E663" s="55"/>
      <c r="F663" s="58"/>
      <c r="G663" s="57"/>
    </row>
    <row r="664" spans="1:7" ht="14.5">
      <c r="A664" s="5"/>
      <c r="B664" s="55"/>
      <c r="C664" s="55"/>
      <c r="D664" s="55"/>
      <c r="E664" s="55"/>
      <c r="F664" s="58"/>
      <c r="G664" s="57"/>
    </row>
    <row r="665" spans="1:7" ht="14.5">
      <c r="A665" s="5"/>
      <c r="B665" s="55"/>
      <c r="C665" s="55"/>
      <c r="D665" s="55"/>
      <c r="E665" s="55"/>
      <c r="F665" s="58"/>
      <c r="G665" s="57"/>
    </row>
    <row r="666" spans="1:7" ht="14.5">
      <c r="A666" s="5"/>
      <c r="B666" s="55"/>
      <c r="C666" s="55"/>
      <c r="D666" s="55"/>
      <c r="E666" s="55"/>
      <c r="F666" s="58"/>
      <c r="G666" s="57"/>
    </row>
    <row r="667" spans="1:7" ht="14.5">
      <c r="A667" s="5"/>
      <c r="B667" s="55"/>
      <c r="C667" s="55"/>
      <c r="D667" s="55"/>
      <c r="E667" s="55"/>
      <c r="F667" s="58"/>
      <c r="G667" s="57"/>
    </row>
    <row r="668" spans="1:7" ht="14.5">
      <c r="A668" s="5"/>
      <c r="B668" s="55"/>
      <c r="C668" s="55"/>
      <c r="D668" s="55"/>
      <c r="E668" s="55"/>
      <c r="F668" s="58"/>
      <c r="G668" s="57"/>
    </row>
    <row r="669" spans="1:7" ht="14.5">
      <c r="A669" s="5"/>
      <c r="B669" s="55"/>
      <c r="C669" s="55"/>
      <c r="D669" s="55"/>
      <c r="E669" s="55"/>
      <c r="F669" s="58"/>
      <c r="G669" s="57"/>
    </row>
    <row r="670" spans="1:7" ht="14.5">
      <c r="A670" s="5"/>
      <c r="B670" s="55"/>
      <c r="C670" s="55"/>
      <c r="D670" s="55"/>
      <c r="E670" s="55"/>
      <c r="F670" s="58"/>
      <c r="G670" s="57"/>
    </row>
    <row r="671" spans="1:7" ht="14.5">
      <c r="A671" s="5"/>
      <c r="B671" s="55"/>
      <c r="C671" s="55"/>
      <c r="D671" s="55"/>
      <c r="E671" s="55"/>
      <c r="F671" s="58"/>
      <c r="G671" s="57"/>
    </row>
    <row r="672" spans="1:7" ht="14.5">
      <c r="A672" s="5"/>
      <c r="B672" s="55"/>
      <c r="C672" s="55"/>
      <c r="D672" s="55"/>
      <c r="E672" s="55"/>
      <c r="F672" s="58"/>
      <c r="G672" s="57"/>
    </row>
    <row r="673" spans="1:7" ht="14.5">
      <c r="A673" s="5"/>
      <c r="B673" s="55"/>
      <c r="C673" s="55"/>
      <c r="D673" s="55"/>
      <c r="E673" s="55"/>
      <c r="F673" s="58"/>
      <c r="G673" s="57"/>
    </row>
    <row r="674" spans="1:7" ht="14.5">
      <c r="A674" s="5"/>
      <c r="B674" s="55"/>
      <c r="C674" s="55"/>
      <c r="D674" s="55"/>
      <c r="E674" s="55"/>
      <c r="F674" s="58"/>
      <c r="G674" s="57"/>
    </row>
    <row r="675" spans="1:7" ht="14.5">
      <c r="A675" s="5"/>
      <c r="B675" s="55"/>
      <c r="C675" s="55"/>
      <c r="D675" s="55"/>
      <c r="E675" s="55"/>
      <c r="F675" s="58"/>
      <c r="G675" s="57"/>
    </row>
    <row r="676" spans="1:7" ht="14.5">
      <c r="A676" s="5"/>
      <c r="B676" s="55"/>
      <c r="C676" s="55"/>
      <c r="D676" s="55"/>
      <c r="E676" s="55"/>
      <c r="F676" s="58"/>
      <c r="G676" s="57"/>
    </row>
    <row r="677" spans="1:7" ht="14.5">
      <c r="A677" s="5"/>
      <c r="B677" s="55"/>
      <c r="C677" s="55"/>
      <c r="D677" s="55"/>
      <c r="E677" s="55"/>
      <c r="F677" s="58"/>
      <c r="G677" s="57"/>
    </row>
    <row r="678" spans="1:7" ht="14.5">
      <c r="A678" s="5"/>
      <c r="B678" s="55"/>
      <c r="C678" s="55"/>
      <c r="D678" s="55"/>
      <c r="E678" s="55"/>
      <c r="F678" s="58"/>
      <c r="G678" s="57"/>
    </row>
    <row r="679" spans="1:7" ht="14.5">
      <c r="A679" s="5"/>
      <c r="B679" s="55"/>
      <c r="C679" s="55"/>
      <c r="D679" s="55"/>
      <c r="E679" s="55"/>
      <c r="F679" s="58"/>
      <c r="G679" s="57"/>
    </row>
    <row r="680" spans="1:7" ht="14.5">
      <c r="A680" s="5"/>
      <c r="B680" s="55"/>
      <c r="C680" s="55"/>
      <c r="D680" s="55"/>
      <c r="E680" s="55"/>
      <c r="F680" s="58"/>
      <c r="G680" s="57"/>
    </row>
    <row r="681" spans="1:7" ht="14.5">
      <c r="A681" s="5"/>
      <c r="B681" s="55"/>
      <c r="C681" s="55"/>
      <c r="D681" s="55"/>
      <c r="E681" s="55"/>
      <c r="F681" s="58"/>
      <c r="G681" s="57"/>
    </row>
    <row r="682" spans="1:7" ht="14.5">
      <c r="A682" s="5"/>
      <c r="B682" s="55"/>
      <c r="C682" s="55"/>
      <c r="D682" s="55"/>
      <c r="E682" s="55"/>
      <c r="F682" s="58"/>
      <c r="G682" s="57"/>
    </row>
    <row r="683" spans="1:7" ht="14.5">
      <c r="A683" s="5"/>
      <c r="B683" s="55"/>
      <c r="C683" s="55"/>
      <c r="D683" s="55"/>
      <c r="E683" s="55"/>
      <c r="F683" s="58"/>
      <c r="G683" s="57"/>
    </row>
    <row r="684" spans="1:7" ht="14.5">
      <c r="A684" s="5"/>
      <c r="B684" s="55"/>
      <c r="C684" s="55"/>
      <c r="D684" s="55"/>
      <c r="E684" s="55"/>
      <c r="F684" s="58"/>
      <c r="G684" s="57"/>
    </row>
    <row r="685" spans="1:7" ht="14.5">
      <c r="A685" s="5"/>
      <c r="B685" s="55"/>
      <c r="C685" s="55"/>
      <c r="D685" s="55"/>
      <c r="E685" s="55"/>
      <c r="F685" s="58"/>
      <c r="G685" s="57"/>
    </row>
    <row r="686" spans="1:7" ht="14.5">
      <c r="A686" s="5"/>
      <c r="B686" s="55"/>
      <c r="C686" s="55"/>
      <c r="D686" s="55"/>
      <c r="E686" s="55"/>
      <c r="F686" s="58"/>
      <c r="G686" s="57"/>
    </row>
    <row r="687" spans="1:7" ht="14.5">
      <c r="A687" s="5"/>
      <c r="B687" s="55"/>
      <c r="C687" s="55"/>
      <c r="D687" s="55"/>
      <c r="E687" s="55"/>
      <c r="F687" s="58"/>
      <c r="G687" s="57"/>
    </row>
    <row r="688" spans="1:7" ht="14.5">
      <c r="A688" s="5"/>
      <c r="B688" s="55"/>
      <c r="C688" s="55"/>
      <c r="D688" s="55"/>
      <c r="E688" s="55"/>
      <c r="F688" s="58"/>
      <c r="G688" s="57"/>
    </row>
    <row r="689" spans="1:7" ht="14.5">
      <c r="A689" s="5"/>
      <c r="B689" s="55"/>
      <c r="C689" s="55"/>
      <c r="D689" s="55"/>
      <c r="E689" s="55"/>
      <c r="F689" s="58"/>
      <c r="G689" s="57"/>
    </row>
    <row r="690" spans="1:7" ht="14.5">
      <c r="A690" s="5"/>
      <c r="B690" s="55"/>
      <c r="C690" s="55"/>
      <c r="D690" s="55"/>
      <c r="E690" s="55"/>
      <c r="F690" s="58"/>
      <c r="G690" s="57"/>
    </row>
    <row r="691" spans="1:7" ht="14.5">
      <c r="A691" s="5"/>
      <c r="B691" s="55"/>
      <c r="C691" s="55"/>
      <c r="D691" s="55"/>
      <c r="E691" s="55"/>
      <c r="F691" s="58"/>
      <c r="G691" s="57"/>
    </row>
    <row r="692" spans="1:7" ht="14.5">
      <c r="A692" s="5"/>
      <c r="B692" s="55"/>
      <c r="C692" s="55"/>
      <c r="D692" s="55"/>
      <c r="E692" s="55"/>
      <c r="F692" s="58"/>
      <c r="G692" s="57"/>
    </row>
    <row r="693" spans="1:7" ht="14.5">
      <c r="A693" s="5"/>
      <c r="B693" s="55"/>
      <c r="C693" s="55"/>
      <c r="D693" s="55"/>
      <c r="E693" s="55"/>
      <c r="F693" s="58"/>
      <c r="G693" s="57"/>
    </row>
    <row r="694" spans="1:7" ht="14.5">
      <c r="A694" s="5"/>
      <c r="B694" s="55"/>
      <c r="C694" s="55"/>
      <c r="D694" s="55"/>
      <c r="E694" s="55"/>
      <c r="F694" s="58"/>
      <c r="G694" s="57"/>
    </row>
    <row r="695" spans="1:7" ht="14.5">
      <c r="A695" s="5"/>
      <c r="B695" s="55"/>
      <c r="C695" s="55"/>
      <c r="D695" s="55"/>
      <c r="E695" s="55"/>
      <c r="F695" s="58"/>
      <c r="G695" s="57"/>
    </row>
    <row r="696" spans="1:7" ht="14.5">
      <c r="A696" s="5"/>
      <c r="B696" s="55"/>
      <c r="C696" s="55"/>
      <c r="D696" s="55"/>
      <c r="E696" s="55"/>
      <c r="F696" s="58"/>
      <c r="G696" s="57"/>
    </row>
    <row r="697" spans="1:7" ht="14.5">
      <c r="A697" s="5"/>
      <c r="B697" s="55"/>
      <c r="C697" s="55"/>
      <c r="D697" s="55"/>
      <c r="E697" s="55"/>
      <c r="F697" s="58"/>
      <c r="G697" s="57"/>
    </row>
    <row r="698" spans="1:7" ht="14.5">
      <c r="A698" s="5"/>
      <c r="B698" s="55"/>
      <c r="C698" s="55"/>
      <c r="D698" s="55"/>
      <c r="E698" s="55"/>
      <c r="F698" s="58"/>
      <c r="G698" s="57"/>
    </row>
    <row r="699" spans="1:7" ht="14.5">
      <c r="A699" s="5"/>
      <c r="B699" s="55"/>
      <c r="C699" s="55"/>
      <c r="D699" s="55"/>
      <c r="E699" s="55"/>
      <c r="F699" s="58"/>
      <c r="G699" s="57"/>
    </row>
    <row r="700" spans="1:7" ht="14.5">
      <c r="A700" s="5"/>
      <c r="B700" s="55"/>
      <c r="C700" s="55"/>
      <c r="D700" s="55"/>
      <c r="E700" s="55"/>
      <c r="F700" s="58"/>
      <c r="G700" s="57"/>
    </row>
    <row r="701" spans="1:7" ht="14.5">
      <c r="A701" s="5"/>
      <c r="B701" s="55"/>
      <c r="C701" s="55"/>
      <c r="D701" s="55"/>
      <c r="E701" s="55"/>
      <c r="F701" s="58"/>
      <c r="G701" s="57"/>
    </row>
    <row r="702" spans="1:7" ht="14.5">
      <c r="A702" s="5"/>
      <c r="B702" s="55"/>
      <c r="C702" s="55"/>
      <c r="D702" s="55"/>
      <c r="E702" s="55"/>
      <c r="F702" s="58"/>
      <c r="G702" s="57"/>
    </row>
    <row r="703" spans="1:7" ht="14.5">
      <c r="A703" s="5"/>
      <c r="B703" s="55"/>
      <c r="C703" s="55"/>
      <c r="D703" s="55"/>
      <c r="E703" s="55"/>
      <c r="F703" s="58"/>
      <c r="G703" s="57"/>
    </row>
    <row r="704" spans="1:7" ht="14.5">
      <c r="A704" s="5"/>
      <c r="B704" s="55"/>
      <c r="C704" s="55"/>
      <c r="D704" s="55"/>
      <c r="E704" s="55"/>
      <c r="F704" s="58"/>
      <c r="G704" s="57"/>
    </row>
    <row r="705" spans="1:7" ht="14.5">
      <c r="A705" s="5"/>
      <c r="B705" s="55"/>
      <c r="C705" s="55"/>
      <c r="D705" s="55"/>
      <c r="E705" s="55"/>
      <c r="F705" s="58"/>
      <c r="G705" s="57"/>
    </row>
    <row r="706" spans="1:7" ht="14.5">
      <c r="A706" s="5"/>
      <c r="B706" s="55"/>
      <c r="C706" s="55"/>
      <c r="D706" s="55"/>
      <c r="E706" s="55"/>
      <c r="F706" s="58"/>
      <c r="G706" s="57"/>
    </row>
    <row r="707" spans="1:7" ht="14.5">
      <c r="A707" s="5"/>
      <c r="B707" s="55"/>
      <c r="C707" s="55"/>
      <c r="D707" s="55"/>
      <c r="E707" s="55"/>
      <c r="F707" s="58"/>
      <c r="G707" s="57"/>
    </row>
    <row r="708" spans="1:7" ht="14.5">
      <c r="A708" s="5"/>
      <c r="B708" s="55"/>
      <c r="C708" s="55"/>
      <c r="D708" s="55"/>
      <c r="E708" s="55"/>
      <c r="F708" s="58"/>
      <c r="G708" s="57"/>
    </row>
    <row r="709" spans="1:7" ht="14.5">
      <c r="A709" s="5"/>
      <c r="B709" s="55"/>
      <c r="C709" s="55"/>
      <c r="D709" s="55"/>
      <c r="E709" s="55"/>
      <c r="F709" s="58"/>
      <c r="G709" s="57"/>
    </row>
    <row r="710" spans="1:7" ht="14.5">
      <c r="A710" s="5"/>
      <c r="B710" s="55"/>
      <c r="C710" s="55"/>
      <c r="D710" s="55"/>
      <c r="E710" s="55"/>
      <c r="F710" s="58"/>
      <c r="G710" s="57"/>
    </row>
    <row r="711" spans="1:7" ht="14.5">
      <c r="A711" s="5"/>
      <c r="B711" s="55"/>
      <c r="C711" s="55"/>
      <c r="D711" s="55"/>
      <c r="E711" s="55"/>
      <c r="F711" s="58"/>
      <c r="G711" s="57"/>
    </row>
    <row r="712" spans="1:7" ht="14.5">
      <c r="A712" s="5"/>
      <c r="B712" s="55"/>
      <c r="C712" s="55"/>
      <c r="D712" s="55"/>
      <c r="E712" s="55"/>
      <c r="F712" s="58"/>
      <c r="G712" s="57"/>
    </row>
    <row r="713" spans="1:7" ht="14.5">
      <c r="A713" s="5"/>
      <c r="B713" s="55"/>
      <c r="C713" s="55"/>
      <c r="D713" s="55"/>
      <c r="E713" s="55"/>
      <c r="F713" s="58"/>
      <c r="G713" s="57"/>
    </row>
    <row r="714" spans="1:7" ht="14.5">
      <c r="A714" s="5"/>
      <c r="B714" s="55"/>
      <c r="C714" s="55"/>
      <c r="D714" s="55"/>
      <c r="E714" s="55"/>
      <c r="F714" s="58"/>
      <c r="G714" s="57"/>
    </row>
    <row r="715" spans="1:7" ht="14.5">
      <c r="A715" s="5"/>
      <c r="B715" s="55"/>
      <c r="C715" s="55"/>
      <c r="D715" s="55"/>
      <c r="E715" s="55"/>
      <c r="F715" s="58"/>
      <c r="G715" s="57"/>
    </row>
    <row r="716" spans="1:7" ht="14.5">
      <c r="B716" s="55"/>
      <c r="C716" s="55"/>
      <c r="D716" s="55"/>
      <c r="E716" s="55"/>
      <c r="F716" s="58"/>
      <c r="G716" s="57"/>
    </row>
    <row r="717" spans="1:7" ht="14.5">
      <c r="B717" s="55"/>
      <c r="C717" s="55"/>
      <c r="D717" s="55"/>
      <c r="E717" s="55"/>
      <c r="F717" s="58"/>
      <c r="G717" s="57"/>
    </row>
    <row r="718" spans="1:7" ht="14.5">
      <c r="B718" s="55"/>
      <c r="C718" s="55"/>
      <c r="D718" s="55"/>
      <c r="E718" s="55"/>
      <c r="F718" s="58"/>
      <c r="G718" s="57"/>
    </row>
    <row r="719" spans="1:7" ht="14.5">
      <c r="B719" s="55"/>
      <c r="C719" s="55"/>
      <c r="D719" s="55"/>
      <c r="E719" s="55"/>
      <c r="F719" s="58"/>
      <c r="G719" s="57"/>
    </row>
    <row r="720" spans="1:7" ht="14.5">
      <c r="B720" s="55"/>
      <c r="C720" s="55"/>
      <c r="D720" s="55"/>
      <c r="E720" s="55"/>
      <c r="F720" s="58"/>
      <c r="G720" s="57"/>
    </row>
    <row r="721" spans="2:7" ht="14.5">
      <c r="B721" s="55"/>
      <c r="C721" s="55"/>
      <c r="D721" s="55"/>
      <c r="E721" s="55"/>
      <c r="F721" s="58"/>
      <c r="G721" s="57"/>
    </row>
    <row r="722" spans="2:7" ht="14.5">
      <c r="B722" s="55"/>
      <c r="C722" s="55"/>
      <c r="D722" s="55"/>
      <c r="E722" s="55"/>
      <c r="F722" s="58"/>
      <c r="G722" s="57"/>
    </row>
    <row r="723" spans="2:7" ht="14.5">
      <c r="B723" s="55"/>
      <c r="C723" s="55"/>
      <c r="D723" s="55"/>
      <c r="E723" s="55"/>
      <c r="F723" s="58"/>
      <c r="G723" s="57"/>
    </row>
    <row r="724" spans="2:7" ht="14.5">
      <c r="B724" s="55"/>
      <c r="C724" s="55"/>
      <c r="D724" s="55"/>
      <c r="E724" s="55"/>
      <c r="F724" s="58"/>
      <c r="G724" s="57"/>
    </row>
    <row r="725" spans="2:7" ht="14.5">
      <c r="B725" s="55"/>
      <c r="C725" s="55"/>
      <c r="D725" s="55"/>
      <c r="E725" s="55"/>
      <c r="F725" s="58"/>
      <c r="G725" s="57"/>
    </row>
    <row r="726" spans="2:7" ht="14.5">
      <c r="B726" s="55"/>
      <c r="C726" s="55"/>
      <c r="D726" s="55"/>
      <c r="E726" s="55"/>
      <c r="F726" s="58"/>
      <c r="G726" s="57"/>
    </row>
    <row r="727" spans="2:7" ht="14.5">
      <c r="B727" s="55"/>
      <c r="C727" s="55"/>
      <c r="D727" s="55"/>
      <c r="E727" s="55"/>
      <c r="F727" s="58"/>
      <c r="G727" s="57"/>
    </row>
    <row r="728" spans="2:7" ht="14.5">
      <c r="B728" s="55"/>
      <c r="C728" s="55"/>
      <c r="D728" s="55"/>
      <c r="E728" s="55"/>
      <c r="F728" s="58"/>
      <c r="G728" s="57"/>
    </row>
    <row r="729" spans="2:7" ht="14.5">
      <c r="B729" s="55"/>
      <c r="C729" s="55"/>
      <c r="D729" s="55"/>
      <c r="E729" s="55"/>
      <c r="F729" s="58"/>
      <c r="G729" s="57"/>
    </row>
    <row r="730" spans="2:7" ht="14.5">
      <c r="B730" s="55"/>
      <c r="C730" s="55"/>
      <c r="D730" s="55"/>
      <c r="E730" s="55"/>
      <c r="F730" s="58"/>
      <c r="G730" s="57"/>
    </row>
    <row r="731" spans="2:7" ht="14.5">
      <c r="B731" s="55"/>
      <c r="C731" s="55"/>
      <c r="D731" s="55"/>
      <c r="E731" s="55"/>
      <c r="F731" s="58"/>
      <c r="G731" s="57"/>
    </row>
    <row r="732" spans="2:7" ht="12.5"/>
    <row r="733" spans="2:7" ht="12.5"/>
    <row r="734" spans="2:7" ht="12.5"/>
    <row r="735" spans="2:7" ht="12.5"/>
    <row r="736" spans="2:7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</sheetData>
  <autoFilter ref="A1:G652" xr:uid="{00000000-0009-0000-0000-000007000000}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11"/>
  <sheetViews>
    <sheetView showGridLines="0" topLeftCell="G4" workbookViewId="0">
      <selection activeCell="L16" sqref="L16"/>
    </sheetView>
  </sheetViews>
  <sheetFormatPr defaultColWidth="12.54296875" defaultRowHeight="15.75" customHeight="1"/>
  <cols>
    <col min="1" max="1" width="12.54296875" style="64"/>
    <col min="2" max="2" width="22" style="64" customWidth="1"/>
    <col min="3" max="3" width="19.54296875" style="64" customWidth="1"/>
    <col min="4" max="4" width="15.54296875" style="64" customWidth="1"/>
    <col min="5" max="5" width="30.453125" style="64" customWidth="1"/>
    <col min="6" max="6" width="35.81640625" style="64" customWidth="1"/>
    <col min="7" max="7" width="78" style="64" bestFit="1" customWidth="1"/>
    <col min="8" max="8" width="16.7265625" style="64" customWidth="1"/>
    <col min="9" max="9" width="16" style="142" bestFit="1" customWidth="1"/>
    <col min="10" max="10" width="16.54296875" style="64" customWidth="1"/>
    <col min="11" max="16384" width="12.54296875" style="2"/>
  </cols>
  <sheetData>
    <row r="1" spans="1:10" s="64" customFormat="1" ht="14.5">
      <c r="A1" s="75" t="s">
        <v>0</v>
      </c>
      <c r="B1" s="75" t="s">
        <v>1</v>
      </c>
      <c r="C1" s="75" t="s">
        <v>576</v>
      </c>
      <c r="D1" s="75" t="s">
        <v>577</v>
      </c>
      <c r="E1" s="75" t="s">
        <v>2</v>
      </c>
      <c r="F1" s="75" t="s">
        <v>578</v>
      </c>
      <c r="G1" s="75" t="s">
        <v>579</v>
      </c>
      <c r="H1" s="75" t="s">
        <v>580</v>
      </c>
      <c r="I1" s="115" t="s">
        <v>4</v>
      </c>
      <c r="J1" s="75" t="s">
        <v>581</v>
      </c>
    </row>
    <row r="2" spans="1:10" customFormat="1" ht="14.5">
      <c r="A2" s="122">
        <v>45658</v>
      </c>
      <c r="B2" s="123">
        <v>45663</v>
      </c>
      <c r="C2" s="124" t="s">
        <v>582</v>
      </c>
      <c r="D2" s="125" t="s">
        <v>583</v>
      </c>
      <c r="E2" s="76"/>
      <c r="F2" s="124" t="s">
        <v>584</v>
      </c>
      <c r="G2" s="124" t="s">
        <v>585</v>
      </c>
      <c r="H2" s="125" t="s">
        <v>614</v>
      </c>
      <c r="I2" s="152">
        <v>336406</v>
      </c>
      <c r="J2" s="76" t="s">
        <v>134</v>
      </c>
    </row>
    <row r="3" spans="1:10" customFormat="1" ht="14.5">
      <c r="A3" s="62">
        <v>45658</v>
      </c>
      <c r="B3" s="63">
        <v>45667</v>
      </c>
      <c r="C3" s="117" t="s">
        <v>587</v>
      </c>
      <c r="D3" s="120" t="s">
        <v>293</v>
      </c>
      <c r="E3" s="66"/>
      <c r="F3" s="117" t="s">
        <v>588</v>
      </c>
      <c r="G3" s="117" t="s">
        <v>589</v>
      </c>
      <c r="H3" s="120" t="s">
        <v>614</v>
      </c>
      <c r="I3" s="95">
        <v>217400</v>
      </c>
      <c r="J3" s="66" t="s">
        <v>134</v>
      </c>
    </row>
    <row r="4" spans="1:10" customFormat="1" ht="14.5">
      <c r="A4" s="62">
        <v>45658</v>
      </c>
      <c r="B4" s="63">
        <v>45670</v>
      </c>
      <c r="C4" s="117" t="s">
        <v>590</v>
      </c>
      <c r="D4" s="120" t="s">
        <v>591</v>
      </c>
      <c r="E4" s="66"/>
      <c r="F4" s="117" t="s">
        <v>592</v>
      </c>
      <c r="G4" s="117" t="s">
        <v>593</v>
      </c>
      <c r="H4" s="120" t="s">
        <v>614</v>
      </c>
      <c r="I4" s="95">
        <v>128775</v>
      </c>
      <c r="J4" s="66" t="s">
        <v>134</v>
      </c>
    </row>
    <row r="5" spans="1:10" customFormat="1" ht="14.5">
      <c r="A5" s="62">
        <v>45658</v>
      </c>
      <c r="B5" s="63">
        <v>45670</v>
      </c>
      <c r="C5" s="117" t="s">
        <v>590</v>
      </c>
      <c r="D5" s="120" t="s">
        <v>591</v>
      </c>
      <c r="E5" s="66"/>
      <c r="F5" s="117" t="s">
        <v>592</v>
      </c>
      <c r="G5" s="117" t="s">
        <v>594</v>
      </c>
      <c r="H5" s="120" t="s">
        <v>614</v>
      </c>
      <c r="I5" s="95">
        <v>550500</v>
      </c>
      <c r="J5" s="66" t="s">
        <v>134</v>
      </c>
    </row>
    <row r="6" spans="1:10" customFormat="1" ht="14.5">
      <c r="A6" s="62">
        <v>45658</v>
      </c>
      <c r="B6" s="63">
        <v>45670</v>
      </c>
      <c r="C6" s="117" t="s">
        <v>582</v>
      </c>
      <c r="D6" s="120" t="s">
        <v>583</v>
      </c>
      <c r="E6" s="66"/>
      <c r="F6" s="117" t="s">
        <v>595</v>
      </c>
      <c r="G6" s="117" t="s">
        <v>596</v>
      </c>
      <c r="H6" s="120" t="s">
        <v>614</v>
      </c>
      <c r="I6" s="95">
        <v>165800</v>
      </c>
      <c r="J6" s="66" t="s">
        <v>134</v>
      </c>
    </row>
    <row r="7" spans="1:10" customFormat="1" ht="14.5">
      <c r="A7" s="62">
        <v>45658</v>
      </c>
      <c r="B7" s="63">
        <v>45670</v>
      </c>
      <c r="C7" s="117" t="s">
        <v>590</v>
      </c>
      <c r="D7" s="120" t="s">
        <v>591</v>
      </c>
      <c r="E7" s="66"/>
      <c r="F7" s="117" t="s">
        <v>592</v>
      </c>
      <c r="G7" s="117" t="s">
        <v>594</v>
      </c>
      <c r="H7" s="120" t="s">
        <v>614</v>
      </c>
      <c r="I7" s="95">
        <v>52375</v>
      </c>
      <c r="J7" s="66" t="s">
        <v>134</v>
      </c>
    </row>
    <row r="8" spans="1:10" customFormat="1" ht="14.5">
      <c r="A8" s="62">
        <v>45658</v>
      </c>
      <c r="B8" s="63">
        <v>45670</v>
      </c>
      <c r="C8" s="117" t="s">
        <v>590</v>
      </c>
      <c r="D8" s="120" t="s">
        <v>591</v>
      </c>
      <c r="E8" s="66"/>
      <c r="F8" s="117" t="s">
        <v>592</v>
      </c>
      <c r="G8" s="117" t="s">
        <v>594</v>
      </c>
      <c r="H8" s="120" t="s">
        <v>614</v>
      </c>
      <c r="I8" s="95">
        <v>52375</v>
      </c>
      <c r="J8" s="66" t="s">
        <v>134</v>
      </c>
    </row>
    <row r="9" spans="1:10" customFormat="1" ht="14.5">
      <c r="A9" s="62">
        <v>45658</v>
      </c>
      <c r="B9" s="63">
        <v>45670</v>
      </c>
      <c r="C9" s="117" t="s">
        <v>582</v>
      </c>
      <c r="D9" s="120" t="s">
        <v>583</v>
      </c>
      <c r="E9" s="66"/>
      <c r="F9" s="117" t="s">
        <v>597</v>
      </c>
      <c r="G9" s="117" t="s">
        <v>598</v>
      </c>
      <c r="H9" s="120" t="s">
        <v>614</v>
      </c>
      <c r="I9" s="95">
        <v>233000</v>
      </c>
      <c r="J9" s="66" t="s">
        <v>134</v>
      </c>
    </row>
    <row r="10" spans="1:10" customFormat="1" ht="14.5">
      <c r="A10" s="62">
        <v>45658</v>
      </c>
      <c r="B10" s="63">
        <v>45670</v>
      </c>
      <c r="C10" s="117" t="s">
        <v>582</v>
      </c>
      <c r="D10" s="120" t="s">
        <v>583</v>
      </c>
      <c r="E10" s="66"/>
      <c r="F10" s="117" t="s">
        <v>599</v>
      </c>
      <c r="G10" s="117" t="s">
        <v>600</v>
      </c>
      <c r="H10" s="120" t="s">
        <v>614</v>
      </c>
      <c r="I10" s="95">
        <v>57000</v>
      </c>
      <c r="J10" s="66" t="s">
        <v>134</v>
      </c>
    </row>
    <row r="11" spans="1:10" customFormat="1" ht="14.5">
      <c r="A11" s="62">
        <v>45658</v>
      </c>
      <c r="B11" s="63">
        <v>45671</v>
      </c>
      <c r="C11" s="117" t="s">
        <v>276</v>
      </c>
      <c r="D11" s="120" t="s">
        <v>601</v>
      </c>
      <c r="E11" s="66"/>
      <c r="F11" s="117" t="s">
        <v>602</v>
      </c>
      <c r="G11" s="117" t="s">
        <v>589</v>
      </c>
      <c r="H11" s="120" t="s">
        <v>614</v>
      </c>
      <c r="I11" s="95">
        <v>541700</v>
      </c>
      <c r="J11" s="66" t="s">
        <v>134</v>
      </c>
    </row>
    <row r="12" spans="1:10" customFormat="1" ht="14.5">
      <c r="A12" s="62">
        <v>45658</v>
      </c>
      <c r="B12" s="63">
        <v>45672</v>
      </c>
      <c r="C12" s="117" t="s">
        <v>276</v>
      </c>
      <c r="D12" s="120" t="s">
        <v>601</v>
      </c>
      <c r="E12" s="66"/>
      <c r="F12" s="117" t="s">
        <v>602</v>
      </c>
      <c r="G12" s="117" t="s">
        <v>603</v>
      </c>
      <c r="H12" s="120" t="s">
        <v>614</v>
      </c>
      <c r="I12" s="95">
        <v>527000</v>
      </c>
      <c r="J12" s="66" t="s">
        <v>134</v>
      </c>
    </row>
    <row r="13" spans="1:10" customFormat="1" ht="14.5">
      <c r="A13" s="62">
        <v>45658</v>
      </c>
      <c r="B13" s="63">
        <v>45672</v>
      </c>
      <c r="C13" s="117" t="s">
        <v>276</v>
      </c>
      <c r="D13" s="120" t="s">
        <v>601</v>
      </c>
      <c r="E13" s="66"/>
      <c r="F13" s="117" t="s">
        <v>602</v>
      </c>
      <c r="G13" s="66" t="s">
        <v>604</v>
      </c>
      <c r="H13" s="120" t="s">
        <v>605</v>
      </c>
      <c r="I13" s="95">
        <v>535500</v>
      </c>
      <c r="J13" s="66" t="s">
        <v>134</v>
      </c>
    </row>
    <row r="14" spans="1:10" customFormat="1" ht="14.5">
      <c r="A14" s="62">
        <v>45658</v>
      </c>
      <c r="B14" s="63">
        <v>45672</v>
      </c>
      <c r="C14" s="117" t="s">
        <v>276</v>
      </c>
      <c r="D14" s="120" t="s">
        <v>601</v>
      </c>
      <c r="E14" s="66"/>
      <c r="F14" s="117" t="s">
        <v>602</v>
      </c>
      <c r="G14" s="66" t="s">
        <v>606</v>
      </c>
      <c r="H14" s="120" t="s">
        <v>605</v>
      </c>
      <c r="I14" s="95">
        <v>836000</v>
      </c>
      <c r="J14" s="66" t="s">
        <v>134</v>
      </c>
    </row>
    <row r="15" spans="1:10" customFormat="1" ht="14.5">
      <c r="A15" s="62">
        <v>45658</v>
      </c>
      <c r="B15" s="63">
        <v>45672</v>
      </c>
      <c r="C15" s="117" t="s">
        <v>276</v>
      </c>
      <c r="D15" s="120" t="s">
        <v>601</v>
      </c>
      <c r="E15" s="66"/>
      <c r="F15" s="117" t="s">
        <v>602</v>
      </c>
      <c r="G15" s="66" t="s">
        <v>607</v>
      </c>
      <c r="H15" s="120" t="s">
        <v>605</v>
      </c>
      <c r="I15" s="95">
        <v>535500</v>
      </c>
      <c r="J15" s="66" t="s">
        <v>134</v>
      </c>
    </row>
    <row r="16" spans="1:10" customFormat="1" ht="14.5">
      <c r="A16" s="62">
        <v>45658</v>
      </c>
      <c r="B16" s="63">
        <v>45672</v>
      </c>
      <c r="C16" s="117" t="s">
        <v>276</v>
      </c>
      <c r="D16" s="120" t="s">
        <v>601</v>
      </c>
      <c r="E16" s="66"/>
      <c r="F16" s="117" t="s">
        <v>602</v>
      </c>
      <c r="G16" s="66" t="s">
        <v>608</v>
      </c>
      <c r="H16" s="120" t="s">
        <v>605</v>
      </c>
      <c r="I16" s="95">
        <v>686000</v>
      </c>
      <c r="J16" s="66" t="s">
        <v>134</v>
      </c>
    </row>
    <row r="17" spans="1:10" customFormat="1" ht="14.5">
      <c r="A17" s="143">
        <v>45658</v>
      </c>
      <c r="B17" s="144">
        <v>45672</v>
      </c>
      <c r="C17" s="145" t="s">
        <v>276</v>
      </c>
      <c r="D17" s="146" t="s">
        <v>601</v>
      </c>
      <c r="E17" s="147"/>
      <c r="F17" s="145" t="s">
        <v>602</v>
      </c>
      <c r="G17" s="146" t="s">
        <v>609</v>
      </c>
      <c r="H17" s="120" t="s">
        <v>605</v>
      </c>
      <c r="I17" s="153">
        <v>880000</v>
      </c>
      <c r="J17" s="66" t="s">
        <v>134</v>
      </c>
    </row>
    <row r="18" spans="1:10" customFormat="1" ht="15.5">
      <c r="A18" s="143">
        <v>45689</v>
      </c>
      <c r="B18" s="144">
        <v>45691</v>
      </c>
      <c r="C18" s="64" t="s">
        <v>610</v>
      </c>
      <c r="D18" s="148" t="s">
        <v>611</v>
      </c>
      <c r="E18" s="66"/>
      <c r="F18" s="148" t="s">
        <v>612</v>
      </c>
      <c r="G18" s="148" t="s">
        <v>613</v>
      </c>
      <c r="H18" s="148" t="s">
        <v>614</v>
      </c>
      <c r="I18" s="154">
        <v>771500</v>
      </c>
      <c r="J18" s="147" t="s">
        <v>134</v>
      </c>
    </row>
    <row r="19" spans="1:10" customFormat="1" ht="15.5">
      <c r="A19" s="143">
        <v>45689</v>
      </c>
      <c r="B19" s="144">
        <v>45692</v>
      </c>
      <c r="C19" s="64" t="s">
        <v>401</v>
      </c>
      <c r="D19" s="148" t="s">
        <v>293</v>
      </c>
      <c r="E19" s="66"/>
      <c r="F19" s="148" t="s">
        <v>615</v>
      </c>
      <c r="G19" s="148" t="s">
        <v>616</v>
      </c>
      <c r="H19" s="148" t="s">
        <v>614</v>
      </c>
      <c r="I19" s="154">
        <v>105200</v>
      </c>
      <c r="J19" s="66" t="s">
        <v>134</v>
      </c>
    </row>
    <row r="20" spans="1:10" customFormat="1" ht="15.5">
      <c r="A20" s="143">
        <v>45689</v>
      </c>
      <c r="B20" s="144">
        <v>45692</v>
      </c>
      <c r="C20" s="64" t="s">
        <v>610</v>
      </c>
      <c r="D20" s="148" t="s">
        <v>611</v>
      </c>
      <c r="E20" s="66"/>
      <c r="F20" s="148" t="s">
        <v>617</v>
      </c>
      <c r="G20" s="148" t="s">
        <v>613</v>
      </c>
      <c r="H20" s="148" t="s">
        <v>614</v>
      </c>
      <c r="I20" s="154">
        <v>342000</v>
      </c>
      <c r="J20" s="66" t="s">
        <v>134</v>
      </c>
    </row>
    <row r="21" spans="1:10" customFormat="1" ht="15.5">
      <c r="A21" s="143">
        <v>45689</v>
      </c>
      <c r="B21" s="144">
        <v>45692</v>
      </c>
      <c r="C21" s="64" t="s">
        <v>456</v>
      </c>
      <c r="D21" s="148" t="s">
        <v>293</v>
      </c>
      <c r="E21" s="66"/>
      <c r="F21" s="148" t="s">
        <v>618</v>
      </c>
      <c r="G21" s="148" t="s">
        <v>619</v>
      </c>
      <c r="H21" s="148" t="s">
        <v>614</v>
      </c>
      <c r="I21" s="154">
        <v>381800</v>
      </c>
      <c r="J21" s="66" t="s">
        <v>134</v>
      </c>
    </row>
    <row r="22" spans="1:10" customFormat="1" ht="15.5">
      <c r="A22" s="143">
        <v>45689</v>
      </c>
      <c r="B22" s="144">
        <v>45692</v>
      </c>
      <c r="C22" s="64" t="s">
        <v>326</v>
      </c>
      <c r="D22" s="148" t="s">
        <v>293</v>
      </c>
      <c r="E22" s="66"/>
      <c r="F22" s="148" t="s">
        <v>615</v>
      </c>
      <c r="G22" s="148" t="s">
        <v>620</v>
      </c>
      <c r="H22" s="148" t="s">
        <v>614</v>
      </c>
      <c r="I22" s="154">
        <v>30000</v>
      </c>
      <c r="J22" s="66" t="s">
        <v>134</v>
      </c>
    </row>
    <row r="23" spans="1:10" customFormat="1" ht="15.5">
      <c r="A23" s="143">
        <v>45689</v>
      </c>
      <c r="B23" s="144">
        <v>45692</v>
      </c>
      <c r="C23" s="64" t="s">
        <v>285</v>
      </c>
      <c r="D23" s="149" t="s">
        <v>583</v>
      </c>
      <c r="E23" s="66"/>
      <c r="F23" s="148" t="s">
        <v>621</v>
      </c>
      <c r="G23" s="148" t="s">
        <v>622</v>
      </c>
      <c r="H23" s="148" t="s">
        <v>614</v>
      </c>
      <c r="I23" s="154">
        <v>99000</v>
      </c>
      <c r="J23" s="66" t="s">
        <v>134</v>
      </c>
    </row>
    <row r="24" spans="1:10" customFormat="1" ht="15.5">
      <c r="A24" s="143">
        <v>45689</v>
      </c>
      <c r="B24" s="144">
        <v>45692</v>
      </c>
      <c r="C24" s="64" t="s">
        <v>285</v>
      </c>
      <c r="D24" s="149" t="s">
        <v>583</v>
      </c>
      <c r="E24" s="66"/>
      <c r="F24" s="148" t="s">
        <v>621</v>
      </c>
      <c r="G24" s="148" t="s">
        <v>622</v>
      </c>
      <c r="H24" s="148" t="s">
        <v>614</v>
      </c>
      <c r="I24" s="154">
        <v>154000</v>
      </c>
      <c r="J24" s="66" t="s">
        <v>134</v>
      </c>
    </row>
    <row r="25" spans="1:10" customFormat="1" ht="15.5">
      <c r="A25" s="143">
        <v>45689</v>
      </c>
      <c r="B25" s="144">
        <v>45694</v>
      </c>
      <c r="C25" s="64" t="s">
        <v>610</v>
      </c>
      <c r="D25" s="148" t="s">
        <v>611</v>
      </c>
      <c r="E25" s="66"/>
      <c r="F25" s="148" t="s">
        <v>623</v>
      </c>
      <c r="G25" s="148" t="s">
        <v>624</v>
      </c>
      <c r="H25" s="148" t="s">
        <v>614</v>
      </c>
      <c r="I25" s="154">
        <v>244000</v>
      </c>
      <c r="J25" s="66" t="s">
        <v>134</v>
      </c>
    </row>
    <row r="26" spans="1:10" customFormat="1" ht="15.5">
      <c r="A26" s="143">
        <v>45689</v>
      </c>
      <c r="B26" s="144">
        <v>45694</v>
      </c>
      <c r="C26" s="64" t="s">
        <v>610</v>
      </c>
      <c r="D26" s="148" t="s">
        <v>611</v>
      </c>
      <c r="E26" s="66"/>
      <c r="F26" s="148" t="s">
        <v>625</v>
      </c>
      <c r="G26" s="148" t="s">
        <v>594</v>
      </c>
      <c r="H26" s="148" t="s">
        <v>614</v>
      </c>
      <c r="I26" s="154">
        <v>586000</v>
      </c>
      <c r="J26" s="66" t="s">
        <v>134</v>
      </c>
    </row>
    <row r="27" spans="1:10" customFormat="1" ht="15.5">
      <c r="A27" s="143">
        <v>45689</v>
      </c>
      <c r="B27" s="144">
        <v>45695</v>
      </c>
      <c r="C27" s="64" t="s">
        <v>610</v>
      </c>
      <c r="D27" s="148" t="s">
        <v>611</v>
      </c>
      <c r="E27" s="66"/>
      <c r="F27" s="148" t="s">
        <v>626</v>
      </c>
      <c r="G27" s="148" t="s">
        <v>594</v>
      </c>
      <c r="H27" s="148" t="s">
        <v>614</v>
      </c>
      <c r="I27" s="154">
        <v>630500</v>
      </c>
      <c r="J27" s="66" t="s">
        <v>134</v>
      </c>
    </row>
    <row r="28" spans="1:10" customFormat="1" ht="15.5">
      <c r="A28" s="143">
        <v>45689</v>
      </c>
      <c r="B28" s="144">
        <v>45695</v>
      </c>
      <c r="C28" s="64" t="s">
        <v>610</v>
      </c>
      <c r="D28" s="148" t="s">
        <v>611</v>
      </c>
      <c r="E28" s="66"/>
      <c r="F28" s="148" t="s">
        <v>627</v>
      </c>
      <c r="G28" s="148" t="s">
        <v>628</v>
      </c>
      <c r="H28" s="148" t="s">
        <v>614</v>
      </c>
      <c r="I28" s="154">
        <v>463000</v>
      </c>
      <c r="J28" s="66" t="s">
        <v>134</v>
      </c>
    </row>
    <row r="29" spans="1:10" customFormat="1" ht="15.5">
      <c r="A29" s="143">
        <v>45689</v>
      </c>
      <c r="B29" s="144">
        <v>45698</v>
      </c>
      <c r="C29" s="64" t="s">
        <v>401</v>
      </c>
      <c r="D29" s="148" t="s">
        <v>293</v>
      </c>
      <c r="E29" s="66"/>
      <c r="F29" s="148" t="s">
        <v>629</v>
      </c>
      <c r="G29" s="148" t="s">
        <v>630</v>
      </c>
      <c r="H29" s="148" t="s">
        <v>614</v>
      </c>
      <c r="I29" s="154">
        <v>234403</v>
      </c>
      <c r="J29" s="66" t="s">
        <v>134</v>
      </c>
    </row>
    <row r="30" spans="1:10" customFormat="1" ht="15.5">
      <c r="A30" s="143">
        <v>45689</v>
      </c>
      <c r="B30" s="144">
        <v>45698</v>
      </c>
      <c r="C30" s="64" t="s">
        <v>401</v>
      </c>
      <c r="D30" s="148" t="s">
        <v>293</v>
      </c>
      <c r="E30" s="66"/>
      <c r="F30" s="148" t="s">
        <v>631</v>
      </c>
      <c r="G30" s="148" t="s">
        <v>632</v>
      </c>
      <c r="H30" s="148" t="s">
        <v>614</v>
      </c>
      <c r="I30" s="154">
        <v>489000</v>
      </c>
      <c r="J30" s="66" t="s">
        <v>134</v>
      </c>
    </row>
    <row r="31" spans="1:10" customFormat="1" ht="15.5">
      <c r="A31" s="143">
        <v>45689</v>
      </c>
      <c r="B31" s="144">
        <v>45698</v>
      </c>
      <c r="C31" s="150" t="s">
        <v>285</v>
      </c>
      <c r="D31" s="149" t="s">
        <v>583</v>
      </c>
      <c r="E31" s="66"/>
      <c r="F31" s="149" t="s">
        <v>633</v>
      </c>
      <c r="G31" s="149" t="s">
        <v>622</v>
      </c>
      <c r="H31" s="149" t="s">
        <v>614</v>
      </c>
      <c r="I31" s="155">
        <v>124500</v>
      </c>
      <c r="J31" s="66" t="s">
        <v>134</v>
      </c>
    </row>
    <row r="32" spans="1:10" customFormat="1" ht="15.5">
      <c r="A32" s="143">
        <v>45689</v>
      </c>
      <c r="B32" s="144">
        <v>45698</v>
      </c>
      <c r="C32" s="150" t="s">
        <v>321</v>
      </c>
      <c r="D32" s="149" t="s">
        <v>611</v>
      </c>
      <c r="E32" s="66"/>
      <c r="F32" s="149" t="s">
        <v>634</v>
      </c>
      <c r="G32" s="149" t="s">
        <v>635</v>
      </c>
      <c r="H32" s="149" t="s">
        <v>614</v>
      </c>
      <c r="I32" s="155">
        <v>529000</v>
      </c>
      <c r="J32" s="66" t="s">
        <v>134</v>
      </c>
    </row>
    <row r="33" spans="1:11" customFormat="1" ht="15.5">
      <c r="A33" s="143">
        <v>45689</v>
      </c>
      <c r="B33" s="144">
        <v>45699</v>
      </c>
      <c r="C33" s="150" t="s">
        <v>636</v>
      </c>
      <c r="D33" s="149" t="s">
        <v>637</v>
      </c>
      <c r="E33" s="66"/>
      <c r="F33" s="149" t="s">
        <v>638</v>
      </c>
      <c r="G33" s="149" t="s">
        <v>639</v>
      </c>
      <c r="H33" s="149" t="s">
        <v>614</v>
      </c>
      <c r="I33" s="155">
        <v>99400</v>
      </c>
      <c r="J33" s="66" t="s">
        <v>134</v>
      </c>
    </row>
    <row r="34" spans="1:11" customFormat="1" ht="15.5">
      <c r="A34" s="143">
        <v>45689</v>
      </c>
      <c r="B34" s="144">
        <v>45699</v>
      </c>
      <c r="C34" s="150" t="s">
        <v>636</v>
      </c>
      <c r="D34" s="149" t="s">
        <v>637</v>
      </c>
      <c r="E34" s="66"/>
      <c r="F34" s="149" t="s">
        <v>640</v>
      </c>
      <c r="G34" s="149" t="s">
        <v>641</v>
      </c>
      <c r="H34" s="149" t="s">
        <v>642</v>
      </c>
      <c r="I34" s="155">
        <v>123900</v>
      </c>
      <c r="J34" s="66" t="s">
        <v>134</v>
      </c>
    </row>
    <row r="35" spans="1:11" customFormat="1" ht="15.5">
      <c r="A35" s="143">
        <v>45689</v>
      </c>
      <c r="B35" s="144">
        <v>45692</v>
      </c>
      <c r="C35" s="150" t="s">
        <v>285</v>
      </c>
      <c r="D35" s="149" t="s">
        <v>583</v>
      </c>
      <c r="E35" s="66"/>
      <c r="F35" s="149" t="s">
        <v>643</v>
      </c>
      <c r="G35" s="149" t="s">
        <v>644</v>
      </c>
      <c r="H35" s="149" t="s">
        <v>614</v>
      </c>
      <c r="I35" s="155">
        <v>460000</v>
      </c>
      <c r="J35" s="66" t="s">
        <v>134</v>
      </c>
    </row>
    <row r="36" spans="1:11" customFormat="1" ht="15.5">
      <c r="A36" s="143">
        <v>45689</v>
      </c>
      <c r="B36" s="144">
        <v>45692</v>
      </c>
      <c r="C36" s="150" t="s">
        <v>285</v>
      </c>
      <c r="D36" s="149" t="s">
        <v>583</v>
      </c>
      <c r="E36" s="66"/>
      <c r="F36" s="149" t="s">
        <v>643</v>
      </c>
      <c r="G36" s="149" t="s">
        <v>622</v>
      </c>
      <c r="H36" s="149" t="s">
        <v>614</v>
      </c>
      <c r="I36" s="155">
        <v>188000</v>
      </c>
      <c r="J36" s="66" t="s">
        <v>134</v>
      </c>
    </row>
    <row r="37" spans="1:11" customFormat="1" ht="15.5">
      <c r="A37" s="143">
        <v>45689</v>
      </c>
      <c r="B37" s="144">
        <v>45692</v>
      </c>
      <c r="C37" s="150" t="s">
        <v>285</v>
      </c>
      <c r="D37" s="149" t="s">
        <v>583</v>
      </c>
      <c r="E37" s="66"/>
      <c r="F37" s="149" t="s">
        <v>643</v>
      </c>
      <c r="G37" s="149" t="s">
        <v>645</v>
      </c>
      <c r="H37" s="149" t="s">
        <v>614</v>
      </c>
      <c r="I37" s="155">
        <v>527000</v>
      </c>
      <c r="J37" s="66" t="s">
        <v>134</v>
      </c>
    </row>
    <row r="38" spans="1:11" customFormat="1" ht="15.5">
      <c r="A38" s="143">
        <v>45689</v>
      </c>
      <c r="B38" s="144">
        <v>45696</v>
      </c>
      <c r="C38" s="150" t="s">
        <v>636</v>
      </c>
      <c r="D38" s="149" t="s">
        <v>637</v>
      </c>
      <c r="E38" s="66"/>
      <c r="F38" s="149" t="s">
        <v>646</v>
      </c>
      <c r="G38" s="149" t="s">
        <v>647</v>
      </c>
      <c r="H38" s="149" t="s">
        <v>614</v>
      </c>
      <c r="I38" s="155">
        <v>107000</v>
      </c>
      <c r="J38" s="66" t="s">
        <v>134</v>
      </c>
    </row>
    <row r="39" spans="1:11" customFormat="1" ht="15.5">
      <c r="A39" s="143">
        <v>45689</v>
      </c>
      <c r="B39" s="144">
        <v>45697</v>
      </c>
      <c r="C39" s="150" t="s">
        <v>285</v>
      </c>
      <c r="D39" s="149" t="s">
        <v>583</v>
      </c>
      <c r="E39" s="66"/>
      <c r="F39" s="149" t="s">
        <v>648</v>
      </c>
      <c r="G39" s="149" t="s">
        <v>622</v>
      </c>
      <c r="H39" s="149" t="s">
        <v>614</v>
      </c>
      <c r="I39" s="155">
        <v>160000</v>
      </c>
      <c r="J39" s="66" t="s">
        <v>134</v>
      </c>
    </row>
    <row r="40" spans="1:11" customFormat="1" ht="15.5">
      <c r="A40" s="143">
        <v>45689</v>
      </c>
      <c r="B40" s="144">
        <v>45708</v>
      </c>
      <c r="C40" s="150" t="s">
        <v>649</v>
      </c>
      <c r="D40" s="149" t="s">
        <v>583</v>
      </c>
      <c r="E40" s="66"/>
      <c r="F40" s="149" t="s">
        <v>650</v>
      </c>
      <c r="G40" s="149" t="s">
        <v>651</v>
      </c>
      <c r="H40" s="149" t="s">
        <v>642</v>
      </c>
      <c r="I40" s="155">
        <v>244856</v>
      </c>
      <c r="J40" s="66" t="s">
        <v>134</v>
      </c>
    </row>
    <row r="41" spans="1:11" customFormat="1" ht="15.5">
      <c r="A41" s="143">
        <v>45689</v>
      </c>
      <c r="B41" s="144">
        <v>45708</v>
      </c>
      <c r="C41" s="150" t="s">
        <v>649</v>
      </c>
      <c r="D41" s="149" t="s">
        <v>583</v>
      </c>
      <c r="E41" s="66"/>
      <c r="F41" s="149" t="s">
        <v>652</v>
      </c>
      <c r="G41" s="149" t="s">
        <v>644</v>
      </c>
      <c r="H41" s="149" t="s">
        <v>614</v>
      </c>
      <c r="I41" s="155">
        <v>211150</v>
      </c>
      <c r="J41" s="66" t="s">
        <v>134</v>
      </c>
    </row>
    <row r="42" spans="1:11" customFormat="1" ht="15.5">
      <c r="A42" s="143">
        <v>45689</v>
      </c>
      <c r="B42" s="144">
        <v>45708</v>
      </c>
      <c r="C42" s="150" t="s">
        <v>649</v>
      </c>
      <c r="D42" s="149" t="s">
        <v>583</v>
      </c>
      <c r="E42" s="66"/>
      <c r="F42" s="149" t="s">
        <v>653</v>
      </c>
      <c r="G42" s="149" t="s">
        <v>654</v>
      </c>
      <c r="H42" s="149" t="s">
        <v>642</v>
      </c>
      <c r="I42" s="155">
        <v>147980</v>
      </c>
      <c r="J42" s="66" t="s">
        <v>134</v>
      </c>
    </row>
    <row r="43" spans="1:11" customFormat="1" ht="15.5">
      <c r="A43" s="143">
        <v>45689</v>
      </c>
      <c r="B43" s="144">
        <v>45713</v>
      </c>
      <c r="C43" s="150" t="s">
        <v>655</v>
      </c>
      <c r="D43" s="149" t="s">
        <v>601</v>
      </c>
      <c r="E43" s="66"/>
      <c r="F43" s="149" t="s">
        <v>656</v>
      </c>
      <c r="G43" s="149" t="s">
        <v>657</v>
      </c>
      <c r="H43" s="149" t="s">
        <v>614</v>
      </c>
      <c r="I43" s="155">
        <v>210000</v>
      </c>
      <c r="J43" s="66" t="s">
        <v>134</v>
      </c>
    </row>
    <row r="44" spans="1:11" customFormat="1" ht="15.5">
      <c r="A44" s="143">
        <v>45689</v>
      </c>
      <c r="B44" s="144">
        <v>45714</v>
      </c>
      <c r="C44" s="150" t="s">
        <v>401</v>
      </c>
      <c r="D44" s="149" t="s">
        <v>293</v>
      </c>
      <c r="E44" s="66"/>
      <c r="F44" s="149" t="s">
        <v>658</v>
      </c>
      <c r="G44" s="149" t="s">
        <v>659</v>
      </c>
      <c r="H44" s="149" t="s">
        <v>614</v>
      </c>
      <c r="I44" s="155">
        <v>160800</v>
      </c>
      <c r="J44" s="66" t="s">
        <v>134</v>
      </c>
    </row>
    <row r="45" spans="1:11" customFormat="1" ht="15.5">
      <c r="A45" s="143">
        <v>45689</v>
      </c>
      <c r="B45" s="144">
        <v>45716</v>
      </c>
      <c r="C45" s="150" t="s">
        <v>285</v>
      </c>
      <c r="D45" s="149" t="s">
        <v>583</v>
      </c>
      <c r="E45" s="66"/>
      <c r="F45" s="149" t="s">
        <v>660</v>
      </c>
      <c r="G45" s="149" t="s">
        <v>622</v>
      </c>
      <c r="H45" s="149" t="s">
        <v>614</v>
      </c>
      <c r="I45" s="155">
        <v>148000</v>
      </c>
      <c r="J45" s="66" t="s">
        <v>134</v>
      </c>
    </row>
    <row r="46" spans="1:11" customFormat="1" ht="15.5">
      <c r="A46" s="143">
        <v>45689</v>
      </c>
      <c r="B46" s="144">
        <v>45716</v>
      </c>
      <c r="C46" s="150" t="s">
        <v>285</v>
      </c>
      <c r="D46" s="149" t="s">
        <v>583</v>
      </c>
      <c r="E46" s="66"/>
      <c r="F46" s="149" t="s">
        <v>661</v>
      </c>
      <c r="G46" s="149" t="s">
        <v>654</v>
      </c>
      <c r="H46" s="149" t="s">
        <v>642</v>
      </c>
      <c r="I46" s="155">
        <v>100000</v>
      </c>
      <c r="J46" s="66" t="s">
        <v>134</v>
      </c>
    </row>
    <row r="47" spans="1:11" customFormat="1" ht="15.5">
      <c r="A47" s="143">
        <v>45689</v>
      </c>
      <c r="B47" s="144">
        <v>45716</v>
      </c>
      <c r="C47" s="156" t="s">
        <v>285</v>
      </c>
      <c r="D47" s="158" t="s">
        <v>583</v>
      </c>
      <c r="E47" s="66"/>
      <c r="F47" s="158" t="s">
        <v>662</v>
      </c>
      <c r="G47" s="158" t="s">
        <v>645</v>
      </c>
      <c r="H47" s="158" t="s">
        <v>614</v>
      </c>
      <c r="I47" s="155">
        <v>688700</v>
      </c>
      <c r="J47" s="66" t="s">
        <v>134</v>
      </c>
    </row>
    <row r="48" spans="1:11" customFormat="1" ht="14.5">
      <c r="A48" s="143">
        <v>45717</v>
      </c>
      <c r="B48" s="144">
        <v>45721</v>
      </c>
      <c r="C48" s="157" t="s">
        <v>285</v>
      </c>
      <c r="D48" s="117" t="s">
        <v>583</v>
      </c>
      <c r="E48" s="159"/>
      <c r="F48" s="157" t="s">
        <v>663</v>
      </c>
      <c r="G48" s="117" t="s">
        <v>644</v>
      </c>
      <c r="H48" s="160" t="s">
        <v>614</v>
      </c>
      <c r="I48" s="161">
        <v>267500</v>
      </c>
      <c r="J48" s="66" t="s">
        <v>134</v>
      </c>
      <c r="K48" s="55"/>
    </row>
    <row r="49" spans="1:11" customFormat="1" ht="14.5">
      <c r="A49" s="143">
        <v>45717</v>
      </c>
      <c r="B49" s="144">
        <v>45721</v>
      </c>
      <c r="C49" s="157" t="s">
        <v>285</v>
      </c>
      <c r="D49" s="117" t="s">
        <v>583</v>
      </c>
      <c r="E49" s="159"/>
      <c r="F49" s="157" t="s">
        <v>664</v>
      </c>
      <c r="G49" s="117" t="s">
        <v>665</v>
      </c>
      <c r="H49" s="160" t="s">
        <v>614</v>
      </c>
      <c r="I49" s="161">
        <v>191300</v>
      </c>
      <c r="J49" s="66" t="s">
        <v>134</v>
      </c>
      <c r="K49" s="55"/>
    </row>
    <row r="50" spans="1:11" customFormat="1" ht="14.5">
      <c r="A50" s="143">
        <v>45717</v>
      </c>
      <c r="B50" s="144">
        <v>45726</v>
      </c>
      <c r="C50" s="157" t="s">
        <v>401</v>
      </c>
      <c r="D50" s="117" t="s">
        <v>293</v>
      </c>
      <c r="E50" s="159"/>
      <c r="F50" s="157" t="s">
        <v>666</v>
      </c>
      <c r="G50" s="117" t="s">
        <v>645</v>
      </c>
      <c r="H50" s="160" t="s">
        <v>614</v>
      </c>
      <c r="I50" s="161">
        <v>148199</v>
      </c>
      <c r="J50" s="66" t="s">
        <v>134</v>
      </c>
      <c r="K50" s="55"/>
    </row>
    <row r="51" spans="1:11" customFormat="1" ht="14.5">
      <c r="A51" s="143">
        <v>45717</v>
      </c>
      <c r="B51" s="144">
        <v>45726</v>
      </c>
      <c r="C51" s="157" t="s">
        <v>285</v>
      </c>
      <c r="D51" s="117" t="s">
        <v>583</v>
      </c>
      <c r="E51" s="159"/>
      <c r="F51" s="157" t="s">
        <v>667</v>
      </c>
      <c r="G51" s="117" t="s">
        <v>668</v>
      </c>
      <c r="H51" s="160" t="s">
        <v>614</v>
      </c>
      <c r="I51" s="161">
        <v>697500</v>
      </c>
      <c r="J51" s="66" t="s">
        <v>134</v>
      </c>
      <c r="K51" s="55"/>
    </row>
    <row r="52" spans="1:11" customFormat="1" ht="14.5">
      <c r="A52" s="143">
        <v>45717</v>
      </c>
      <c r="B52" s="144">
        <v>45726</v>
      </c>
      <c r="C52" s="157" t="s">
        <v>285</v>
      </c>
      <c r="D52" s="117" t="s">
        <v>583</v>
      </c>
      <c r="E52" s="159"/>
      <c r="F52" s="157" t="s">
        <v>669</v>
      </c>
      <c r="G52" s="117" t="s">
        <v>670</v>
      </c>
      <c r="H52" s="160" t="s">
        <v>614</v>
      </c>
      <c r="I52" s="161">
        <v>1158500</v>
      </c>
      <c r="J52" s="66" t="s">
        <v>134</v>
      </c>
      <c r="K52" s="55"/>
    </row>
    <row r="53" spans="1:11" customFormat="1" ht="14.5">
      <c r="A53" s="143">
        <v>45717</v>
      </c>
      <c r="B53" s="144">
        <v>45726</v>
      </c>
      <c r="C53" s="157" t="s">
        <v>285</v>
      </c>
      <c r="D53" s="117" t="s">
        <v>583</v>
      </c>
      <c r="E53" s="159"/>
      <c r="F53" s="157" t="s">
        <v>669</v>
      </c>
      <c r="G53" s="117" t="s">
        <v>671</v>
      </c>
      <c r="H53" s="160" t="s">
        <v>614</v>
      </c>
      <c r="I53" s="161">
        <v>467500</v>
      </c>
      <c r="J53" s="66" t="s">
        <v>134</v>
      </c>
      <c r="K53" s="55"/>
    </row>
    <row r="54" spans="1:11" customFormat="1" ht="14.5">
      <c r="A54" s="143">
        <v>45717</v>
      </c>
      <c r="B54" s="144">
        <v>45726</v>
      </c>
      <c r="C54" s="157" t="s">
        <v>672</v>
      </c>
      <c r="D54" s="117" t="s">
        <v>583</v>
      </c>
      <c r="E54" s="159"/>
      <c r="F54" s="157" t="s">
        <v>673</v>
      </c>
      <c r="G54" s="145" t="s">
        <v>674</v>
      </c>
      <c r="H54" s="160" t="s">
        <v>614</v>
      </c>
      <c r="I54" s="161">
        <v>236250</v>
      </c>
      <c r="J54" s="66" t="s">
        <v>134</v>
      </c>
      <c r="K54" s="55"/>
    </row>
    <row r="55" spans="1:11" customFormat="1" ht="15.5">
      <c r="A55" s="143">
        <v>45717</v>
      </c>
      <c r="B55" s="144">
        <v>45721</v>
      </c>
      <c r="C55" s="157" t="s">
        <v>285</v>
      </c>
      <c r="D55" s="117" t="s">
        <v>583</v>
      </c>
      <c r="E55" s="66"/>
      <c r="F55" s="55" t="s">
        <v>663</v>
      </c>
      <c r="G55" s="117" t="s">
        <v>654</v>
      </c>
      <c r="H55" s="163" t="s">
        <v>642</v>
      </c>
      <c r="I55" s="95">
        <v>194499</v>
      </c>
      <c r="J55" s="66" t="s">
        <v>134</v>
      </c>
      <c r="K55" s="55"/>
    </row>
    <row r="56" spans="1:11" customFormat="1" ht="15.5">
      <c r="A56" s="143">
        <v>45717</v>
      </c>
      <c r="B56" s="144">
        <v>45741</v>
      </c>
      <c r="C56" s="157" t="s">
        <v>285</v>
      </c>
      <c r="D56" s="117" t="s">
        <v>583</v>
      </c>
      <c r="E56" s="162"/>
      <c r="F56" s="167" t="s">
        <v>675</v>
      </c>
      <c r="G56" s="145" t="s">
        <v>676</v>
      </c>
      <c r="H56" s="163" t="s">
        <v>642</v>
      </c>
      <c r="I56" s="95">
        <v>264700</v>
      </c>
      <c r="J56" s="66" t="s">
        <v>134</v>
      </c>
      <c r="K56" s="55"/>
    </row>
    <row r="57" spans="1:11" customFormat="1" ht="14.5">
      <c r="A57" s="143">
        <v>45748</v>
      </c>
      <c r="B57" s="144">
        <v>45757</v>
      </c>
      <c r="C57" s="164" t="s">
        <v>401</v>
      </c>
      <c r="D57" s="117" t="s">
        <v>293</v>
      </c>
      <c r="E57" s="162"/>
      <c r="F57" s="157" t="s">
        <v>677</v>
      </c>
      <c r="G57" s="117" t="s">
        <v>603</v>
      </c>
      <c r="H57" s="160" t="s">
        <v>614</v>
      </c>
      <c r="I57" s="95">
        <v>311999</v>
      </c>
      <c r="J57" s="66" t="s">
        <v>134</v>
      </c>
      <c r="K57" s="55"/>
    </row>
    <row r="58" spans="1:11" customFormat="1" ht="14.5">
      <c r="A58" s="143">
        <v>45748</v>
      </c>
      <c r="B58" s="144">
        <v>45757</v>
      </c>
      <c r="C58" s="164" t="s">
        <v>401</v>
      </c>
      <c r="D58" s="145" t="s">
        <v>293</v>
      </c>
      <c r="E58" s="162"/>
      <c r="F58" s="157" t="s">
        <v>677</v>
      </c>
      <c r="G58" s="117" t="s">
        <v>678</v>
      </c>
      <c r="H58" s="160" t="s">
        <v>614</v>
      </c>
      <c r="I58" s="95">
        <v>189999</v>
      </c>
      <c r="J58" s="66" t="s">
        <v>134</v>
      </c>
      <c r="K58" s="55"/>
    </row>
    <row r="59" spans="1:11" customFormat="1" ht="14.5">
      <c r="A59" s="143">
        <v>45748</v>
      </c>
      <c r="B59" s="165">
        <v>45761</v>
      </c>
      <c r="C59" s="118" t="s">
        <v>401</v>
      </c>
      <c r="D59" s="117" t="s">
        <v>293</v>
      </c>
      <c r="E59" s="159"/>
      <c r="F59" s="157" t="s">
        <v>679</v>
      </c>
      <c r="G59" s="117" t="s">
        <v>647</v>
      </c>
      <c r="H59" s="160" t="s">
        <v>614</v>
      </c>
      <c r="I59" s="95">
        <v>791500</v>
      </c>
      <c r="J59" s="66" t="s">
        <v>134</v>
      </c>
      <c r="K59" s="55"/>
    </row>
    <row r="60" spans="1:11" customFormat="1" ht="29">
      <c r="A60" s="143">
        <v>45748</v>
      </c>
      <c r="B60" s="165">
        <v>45761</v>
      </c>
      <c r="C60" s="118" t="s">
        <v>587</v>
      </c>
      <c r="D60" s="117" t="s">
        <v>433</v>
      </c>
      <c r="E60" s="159"/>
      <c r="F60" s="157" t="s">
        <v>631</v>
      </c>
      <c r="G60" s="117" t="s">
        <v>680</v>
      </c>
      <c r="H60" s="160" t="s">
        <v>614</v>
      </c>
      <c r="I60" s="95">
        <v>236901</v>
      </c>
      <c r="J60" s="66" t="s">
        <v>134</v>
      </c>
      <c r="K60" s="55"/>
    </row>
    <row r="61" spans="1:11" customFormat="1" ht="14.5">
      <c r="A61" s="143">
        <v>45748</v>
      </c>
      <c r="B61" s="144">
        <v>45761</v>
      </c>
      <c r="C61" s="166" t="s">
        <v>285</v>
      </c>
      <c r="D61" s="124" t="s">
        <v>583</v>
      </c>
      <c r="E61" s="162"/>
      <c r="F61" s="157" t="s">
        <v>681</v>
      </c>
      <c r="G61" s="117" t="s">
        <v>600</v>
      </c>
      <c r="H61" s="160" t="s">
        <v>614</v>
      </c>
      <c r="I61" s="95">
        <v>63400</v>
      </c>
      <c r="J61" s="66" t="s">
        <v>134</v>
      </c>
      <c r="K61" s="55"/>
    </row>
    <row r="62" spans="1:11" customFormat="1" ht="14.5">
      <c r="A62" s="143">
        <v>45748</v>
      </c>
      <c r="B62" s="144">
        <v>45761</v>
      </c>
      <c r="C62" s="157" t="s">
        <v>285</v>
      </c>
      <c r="D62" s="117" t="s">
        <v>583</v>
      </c>
      <c r="E62" s="162"/>
      <c r="F62" s="157" t="s">
        <v>682</v>
      </c>
      <c r="G62" s="117" t="s">
        <v>683</v>
      </c>
      <c r="H62" s="160" t="s">
        <v>614</v>
      </c>
      <c r="I62" s="95">
        <v>180150</v>
      </c>
      <c r="J62" s="66" t="s">
        <v>134</v>
      </c>
      <c r="K62" s="55"/>
    </row>
    <row r="63" spans="1:11" customFormat="1" ht="14.5">
      <c r="A63" s="143">
        <v>45748</v>
      </c>
      <c r="B63" s="144">
        <v>45763</v>
      </c>
      <c r="C63" s="157" t="s">
        <v>285</v>
      </c>
      <c r="D63" s="117" t="s">
        <v>583</v>
      </c>
      <c r="E63" s="162"/>
      <c r="F63" s="157" t="s">
        <v>684</v>
      </c>
      <c r="G63" s="117" t="s">
        <v>685</v>
      </c>
      <c r="H63" s="160" t="s">
        <v>614</v>
      </c>
      <c r="I63" s="95">
        <v>290555</v>
      </c>
      <c r="J63" s="66" t="s">
        <v>134</v>
      </c>
      <c r="K63" s="55"/>
    </row>
    <row r="64" spans="1:11" customFormat="1" ht="14.5">
      <c r="A64" s="143">
        <v>45748</v>
      </c>
      <c r="B64" s="144">
        <v>45763</v>
      </c>
      <c r="C64" s="157" t="s">
        <v>285</v>
      </c>
      <c r="D64" s="117" t="s">
        <v>583</v>
      </c>
      <c r="E64" s="162"/>
      <c r="F64" s="157" t="s">
        <v>686</v>
      </c>
      <c r="G64" s="117" t="s">
        <v>622</v>
      </c>
      <c r="H64" s="160" t="s">
        <v>614</v>
      </c>
      <c r="I64" s="95">
        <v>249000</v>
      </c>
      <c r="J64" s="66" t="s">
        <v>134</v>
      </c>
      <c r="K64" s="55"/>
    </row>
    <row r="65" spans="1:11" customFormat="1" ht="15.5">
      <c r="A65" s="143">
        <v>45748</v>
      </c>
      <c r="B65" s="165">
        <v>45761</v>
      </c>
      <c r="C65" s="118" t="s">
        <v>401</v>
      </c>
      <c r="D65" s="117" t="s">
        <v>293</v>
      </c>
      <c r="E65" s="66"/>
      <c r="F65" s="157" t="s">
        <v>679</v>
      </c>
      <c r="G65" s="117" t="s">
        <v>654</v>
      </c>
      <c r="H65" s="163" t="s">
        <v>642</v>
      </c>
      <c r="I65" s="95">
        <v>222819</v>
      </c>
      <c r="J65" s="66" t="s">
        <v>134</v>
      </c>
      <c r="K65" s="55"/>
    </row>
    <row r="66" spans="1:11" customFormat="1" ht="14.5">
      <c r="A66" s="62"/>
      <c r="B66" s="63"/>
      <c r="C66" s="66"/>
      <c r="D66" s="120"/>
      <c r="E66" s="66"/>
      <c r="F66" s="66"/>
      <c r="G66" s="120"/>
      <c r="H66" s="120"/>
      <c r="I66" s="121"/>
      <c r="J66" s="66"/>
    </row>
    <row r="67" spans="1:11" customFormat="1" ht="14.5">
      <c r="A67" s="62"/>
      <c r="B67" s="63"/>
      <c r="C67" s="66"/>
      <c r="D67" s="120"/>
      <c r="E67" s="66"/>
      <c r="F67" s="66"/>
      <c r="G67" s="120"/>
      <c r="H67" s="120"/>
      <c r="I67" s="121"/>
      <c r="J67" s="66"/>
    </row>
    <row r="68" spans="1:11" customFormat="1" ht="14.5">
      <c r="A68" s="62"/>
      <c r="B68" s="63"/>
      <c r="C68" s="66"/>
      <c r="D68" s="120"/>
      <c r="E68" s="66"/>
      <c r="F68" s="66"/>
      <c r="G68" s="120"/>
      <c r="H68" s="120"/>
      <c r="I68" s="121"/>
      <c r="J68" s="66"/>
    </row>
    <row r="69" spans="1:11" customFormat="1" ht="14.5">
      <c r="A69" s="62"/>
      <c r="B69" s="63"/>
      <c r="C69" s="66"/>
      <c r="D69" s="120"/>
      <c r="E69" s="66"/>
      <c r="F69" s="66"/>
      <c r="G69" s="120"/>
      <c r="H69" s="120"/>
      <c r="I69" s="121"/>
      <c r="J69" s="66"/>
    </row>
    <row r="70" spans="1:11" customFormat="1" ht="14.5">
      <c r="A70" s="62"/>
      <c r="B70" s="63"/>
      <c r="C70" s="66"/>
      <c r="D70" s="120"/>
      <c r="E70" s="66"/>
      <c r="F70" s="66"/>
      <c r="G70" s="120"/>
      <c r="H70" s="120"/>
      <c r="I70" s="121"/>
      <c r="J70" s="66"/>
    </row>
    <row r="71" spans="1:11" customFormat="1" ht="14.5">
      <c r="A71" s="62"/>
      <c r="B71" s="63"/>
      <c r="C71" s="66"/>
      <c r="D71" s="120"/>
      <c r="E71" s="66"/>
      <c r="F71" s="66"/>
      <c r="G71" s="120"/>
      <c r="H71" s="120"/>
      <c r="I71" s="121"/>
      <c r="J71" s="66"/>
    </row>
    <row r="72" spans="1:11" customFormat="1" ht="14.5">
      <c r="A72" s="62"/>
      <c r="B72" s="63"/>
      <c r="C72" s="66"/>
      <c r="D72" s="120"/>
      <c r="E72" s="66"/>
      <c r="F72" s="66"/>
      <c r="G72" s="120"/>
      <c r="H72" s="120"/>
      <c r="I72" s="121"/>
      <c r="J72" s="66"/>
    </row>
    <row r="73" spans="1:11" customFormat="1" ht="14.5">
      <c r="A73" s="62"/>
      <c r="B73" s="63"/>
      <c r="C73" s="66"/>
      <c r="D73" s="120"/>
      <c r="E73" s="66"/>
      <c r="F73" s="66"/>
      <c r="G73" s="120"/>
      <c r="H73" s="120"/>
      <c r="I73" s="121"/>
      <c r="J73" s="66"/>
    </row>
    <row r="74" spans="1:11" customFormat="1" ht="14.5">
      <c r="A74" s="62"/>
      <c r="B74" s="63"/>
      <c r="C74" s="66"/>
      <c r="D74" s="120"/>
      <c r="E74" s="66"/>
      <c r="F74" s="66"/>
      <c r="G74" s="120"/>
      <c r="H74" s="120"/>
      <c r="I74" s="121"/>
      <c r="J74" s="66"/>
    </row>
    <row r="75" spans="1:11" customFormat="1" ht="14.5">
      <c r="A75" s="62"/>
      <c r="B75" s="63"/>
      <c r="C75" s="66"/>
      <c r="D75" s="120"/>
      <c r="E75" s="66"/>
      <c r="F75" s="66"/>
      <c r="G75" s="120"/>
      <c r="H75" s="120"/>
      <c r="I75" s="121"/>
      <c r="J75" s="66"/>
    </row>
    <row r="76" spans="1:11" customFormat="1" ht="14.5">
      <c r="A76" s="62"/>
      <c r="B76" s="63"/>
      <c r="C76" s="66"/>
      <c r="D76" s="120"/>
      <c r="E76" s="66"/>
      <c r="F76" s="66"/>
      <c r="G76" s="120"/>
      <c r="H76" s="120"/>
      <c r="I76" s="121"/>
      <c r="J76" s="66"/>
    </row>
    <row r="77" spans="1:11" customFormat="1" ht="14.5">
      <c r="A77" s="62"/>
      <c r="B77" s="63"/>
      <c r="C77" s="66"/>
      <c r="D77" s="120"/>
      <c r="E77" s="66"/>
      <c r="F77" s="66"/>
      <c r="G77" s="120"/>
      <c r="H77" s="120"/>
      <c r="I77" s="121"/>
      <c r="J77" s="66"/>
    </row>
    <row r="78" spans="1:11" customFormat="1" ht="14.5">
      <c r="A78" s="62"/>
      <c r="B78" s="63"/>
      <c r="C78" s="66"/>
      <c r="D78" s="120"/>
      <c r="E78" s="66"/>
      <c r="F78" s="66"/>
      <c r="G78" s="120"/>
      <c r="H78" s="120"/>
      <c r="I78" s="121"/>
      <c r="J78" s="66"/>
    </row>
    <row r="79" spans="1:11" customFormat="1" ht="14.5">
      <c r="A79" s="62"/>
      <c r="B79" s="63"/>
      <c r="C79" s="66"/>
      <c r="D79" s="120"/>
      <c r="E79" s="66"/>
      <c r="F79" s="66"/>
      <c r="G79" s="120"/>
      <c r="H79" s="120"/>
      <c r="I79" s="121"/>
      <c r="J79" s="66"/>
    </row>
    <row r="80" spans="1:11" customFormat="1" ht="14.5">
      <c r="A80" s="62"/>
      <c r="B80" s="63"/>
      <c r="C80" s="66"/>
      <c r="D80" s="120"/>
      <c r="E80" s="66"/>
      <c r="F80" s="66"/>
      <c r="G80" s="120"/>
      <c r="H80" s="120"/>
      <c r="I80" s="121"/>
      <c r="J80" s="66"/>
    </row>
    <row r="81" spans="1:10" customFormat="1" ht="14.5">
      <c r="A81" s="62"/>
      <c r="B81" s="63"/>
      <c r="C81" s="66"/>
      <c r="D81" s="120"/>
      <c r="E81" s="66"/>
      <c r="F81" s="66"/>
      <c r="G81" s="120"/>
      <c r="H81" s="120"/>
      <c r="I81" s="121"/>
      <c r="J81" s="66"/>
    </row>
    <row r="82" spans="1:10" customFormat="1" ht="14.5">
      <c r="A82" s="62"/>
      <c r="B82" s="63"/>
      <c r="C82" s="66"/>
      <c r="D82" s="120"/>
      <c r="E82" s="66"/>
      <c r="F82" s="66"/>
      <c r="G82" s="120"/>
      <c r="H82" s="120"/>
      <c r="I82" s="121"/>
      <c r="J82" s="66"/>
    </row>
    <row r="83" spans="1:10" customFormat="1" ht="14.5">
      <c r="A83" s="62"/>
      <c r="B83" s="63"/>
      <c r="C83" s="66"/>
      <c r="D83" s="120"/>
      <c r="E83" s="66"/>
      <c r="F83" s="66"/>
      <c r="G83" s="120"/>
      <c r="H83" s="120"/>
      <c r="I83" s="121"/>
      <c r="J83" s="66"/>
    </row>
    <row r="84" spans="1:10" customFormat="1" ht="14.5">
      <c r="A84" s="62"/>
      <c r="B84" s="63"/>
      <c r="C84" s="66"/>
      <c r="D84" s="120"/>
      <c r="E84" s="66"/>
      <c r="F84" s="66"/>
      <c r="G84" s="120"/>
      <c r="H84" s="120"/>
      <c r="I84" s="121"/>
      <c r="J84" s="66"/>
    </row>
    <row r="85" spans="1:10" customFormat="1" ht="14.5">
      <c r="A85" s="62"/>
      <c r="B85" s="63"/>
      <c r="C85" s="66"/>
      <c r="D85" s="120"/>
      <c r="E85" s="66"/>
      <c r="F85" s="66"/>
      <c r="G85" s="120"/>
      <c r="H85" s="120"/>
      <c r="I85" s="121"/>
      <c r="J85" s="66"/>
    </row>
    <row r="86" spans="1:10" customFormat="1" ht="14.5">
      <c r="A86" s="62"/>
      <c r="B86" s="63"/>
      <c r="C86" s="66"/>
      <c r="D86" s="120"/>
      <c r="E86" s="66"/>
      <c r="F86" s="66"/>
      <c r="G86" s="120"/>
      <c r="H86" s="120"/>
      <c r="I86" s="121"/>
      <c r="J86" s="66"/>
    </row>
    <row r="87" spans="1:10" customFormat="1" ht="14.5">
      <c r="A87" s="62"/>
      <c r="B87" s="63"/>
      <c r="C87" s="66"/>
      <c r="D87" s="120"/>
      <c r="E87" s="66"/>
      <c r="F87" s="66"/>
      <c r="G87" s="120"/>
      <c r="H87" s="120"/>
      <c r="I87" s="121"/>
      <c r="J87" s="66"/>
    </row>
    <row r="88" spans="1:10" customFormat="1" ht="14.5">
      <c r="A88" s="62"/>
      <c r="B88" s="63"/>
      <c r="C88" s="66"/>
      <c r="D88" s="120"/>
      <c r="E88" s="66"/>
      <c r="F88" s="66"/>
      <c r="G88" s="120"/>
      <c r="H88" s="120"/>
      <c r="I88" s="121"/>
      <c r="J88" s="66"/>
    </row>
    <row r="89" spans="1:10" customFormat="1" ht="14.5">
      <c r="A89" s="62"/>
      <c r="B89" s="63"/>
      <c r="C89" s="66"/>
      <c r="D89" s="120"/>
      <c r="E89" s="66"/>
      <c r="F89" s="66"/>
      <c r="G89" s="120"/>
      <c r="H89" s="120"/>
      <c r="I89" s="121"/>
      <c r="J89" s="66"/>
    </row>
    <row r="90" spans="1:10" customFormat="1" ht="14.5">
      <c r="A90" s="62"/>
      <c r="B90" s="63"/>
      <c r="C90" s="66"/>
      <c r="D90" s="120"/>
      <c r="E90" s="66"/>
      <c r="F90" s="66"/>
      <c r="G90" s="120"/>
      <c r="H90" s="120"/>
      <c r="I90" s="121"/>
      <c r="J90" s="66"/>
    </row>
    <row r="91" spans="1:10" customFormat="1" ht="14.5">
      <c r="A91" s="62"/>
      <c r="B91" s="63"/>
      <c r="C91" s="66"/>
      <c r="D91" s="120"/>
      <c r="E91" s="66"/>
      <c r="F91" s="66"/>
      <c r="G91" s="120"/>
      <c r="H91" s="120"/>
      <c r="I91" s="121"/>
      <c r="J91" s="66"/>
    </row>
    <row r="92" spans="1:10" customFormat="1" ht="14.5">
      <c r="A92" s="62"/>
      <c r="B92" s="63"/>
      <c r="C92" s="66"/>
      <c r="D92" s="120"/>
      <c r="E92" s="66"/>
      <c r="F92" s="66"/>
      <c r="G92" s="120"/>
      <c r="H92" s="120"/>
      <c r="I92" s="121"/>
      <c r="J92" s="66"/>
    </row>
    <row r="93" spans="1:10" customFormat="1" ht="14.5">
      <c r="A93" s="62"/>
      <c r="B93" s="63"/>
      <c r="C93" s="66"/>
      <c r="D93" s="120"/>
      <c r="E93" s="66"/>
      <c r="F93" s="66"/>
      <c r="G93" s="120"/>
      <c r="H93" s="120"/>
      <c r="I93" s="121"/>
      <c r="J93" s="66"/>
    </row>
    <row r="94" spans="1:10" customFormat="1" ht="14.5">
      <c r="A94" s="62"/>
      <c r="B94" s="63"/>
      <c r="C94" s="66"/>
      <c r="D94" s="120"/>
      <c r="E94" s="66"/>
      <c r="F94" s="66"/>
      <c r="G94" s="120"/>
      <c r="H94" s="120"/>
      <c r="I94" s="121"/>
      <c r="J94" s="66"/>
    </row>
    <row r="95" spans="1:10" customFormat="1" ht="14.5">
      <c r="A95" s="62"/>
      <c r="B95" s="63"/>
      <c r="C95" s="66"/>
      <c r="D95" s="120"/>
      <c r="E95" s="66"/>
      <c r="F95" s="66"/>
      <c r="G95" s="120"/>
      <c r="H95" s="120"/>
      <c r="I95" s="121"/>
      <c r="J95" s="66"/>
    </row>
    <row r="96" spans="1:10" customFormat="1" ht="14.5">
      <c r="A96" s="62"/>
      <c r="B96" s="63"/>
      <c r="C96" s="66"/>
      <c r="D96" s="120"/>
      <c r="E96" s="66"/>
      <c r="F96" s="66"/>
      <c r="G96" s="120"/>
      <c r="H96" s="120"/>
      <c r="I96" s="121"/>
      <c r="J96" s="66"/>
    </row>
    <row r="97" spans="1:10" customFormat="1" ht="14.5">
      <c r="A97" s="62"/>
      <c r="B97" s="63"/>
      <c r="C97" s="66"/>
      <c r="D97" s="120"/>
      <c r="E97" s="66"/>
      <c r="F97" s="66"/>
      <c r="G97" s="120"/>
      <c r="H97" s="120"/>
      <c r="I97" s="121"/>
      <c r="J97" s="66"/>
    </row>
    <row r="98" spans="1:10" customFormat="1" ht="14.5">
      <c r="A98" s="62"/>
      <c r="B98" s="63"/>
      <c r="C98" s="66"/>
      <c r="D98" s="120"/>
      <c r="E98" s="66"/>
      <c r="F98" s="66"/>
      <c r="G98" s="120"/>
      <c r="H98" s="120"/>
      <c r="I98" s="121"/>
      <c r="J98" s="66"/>
    </row>
    <row r="99" spans="1:10" customFormat="1" ht="14.5">
      <c r="A99" s="62"/>
      <c r="B99" s="63"/>
      <c r="C99" s="66"/>
      <c r="D99" s="120"/>
      <c r="E99" s="66"/>
      <c r="F99" s="66"/>
      <c r="G99" s="120"/>
      <c r="H99" s="120"/>
      <c r="I99" s="121"/>
      <c r="J99" s="66"/>
    </row>
    <row r="100" spans="1:10" customFormat="1" ht="14.5">
      <c r="A100" s="62"/>
      <c r="B100" s="63"/>
      <c r="C100" s="66"/>
      <c r="D100" s="120"/>
      <c r="E100" s="66"/>
      <c r="F100" s="66"/>
      <c r="G100" s="120"/>
      <c r="H100" s="120"/>
      <c r="I100" s="121"/>
      <c r="J100" s="66"/>
    </row>
    <row r="101" spans="1:10" customFormat="1" ht="14.5">
      <c r="A101" s="62"/>
      <c r="B101" s="63"/>
      <c r="C101" s="66"/>
      <c r="D101" s="120"/>
      <c r="E101" s="66"/>
      <c r="F101" s="66"/>
      <c r="G101" s="120"/>
      <c r="H101" s="120"/>
      <c r="I101" s="121"/>
      <c r="J101" s="66"/>
    </row>
    <row r="102" spans="1:10" customFormat="1" ht="14.5">
      <c r="A102" s="62"/>
      <c r="B102" s="63"/>
      <c r="C102" s="66"/>
      <c r="D102" s="120"/>
      <c r="E102" s="66"/>
      <c r="F102" s="66"/>
      <c r="G102" s="120"/>
      <c r="H102" s="120"/>
      <c r="I102" s="121"/>
      <c r="J102" s="66"/>
    </row>
    <row r="103" spans="1:10" customFormat="1" ht="14.5">
      <c r="A103" s="62"/>
      <c r="B103" s="63"/>
      <c r="C103" s="66"/>
      <c r="D103" s="120"/>
      <c r="E103" s="66"/>
      <c r="F103" s="66"/>
      <c r="G103" s="120"/>
      <c r="H103" s="120"/>
      <c r="I103" s="121"/>
      <c r="J103" s="66"/>
    </row>
    <row r="104" spans="1:10" customFormat="1" ht="14.5">
      <c r="A104" s="62"/>
      <c r="B104" s="63"/>
      <c r="C104" s="66"/>
      <c r="D104" s="120"/>
      <c r="E104" s="66"/>
      <c r="F104" s="66"/>
      <c r="G104" s="120"/>
      <c r="H104" s="120"/>
      <c r="I104" s="121"/>
      <c r="J104" s="66"/>
    </row>
    <row r="105" spans="1:10" customFormat="1" ht="14.5">
      <c r="A105" s="62"/>
      <c r="B105" s="63"/>
      <c r="C105" s="66"/>
      <c r="D105" s="120"/>
      <c r="E105" s="66"/>
      <c r="F105" s="66"/>
      <c r="G105" s="120"/>
      <c r="H105" s="120"/>
      <c r="I105" s="121"/>
      <c r="J105" s="66"/>
    </row>
    <row r="106" spans="1:10" customFormat="1" ht="14.5">
      <c r="A106" s="62"/>
      <c r="B106" s="63"/>
      <c r="C106" s="66"/>
      <c r="D106" s="120"/>
      <c r="E106" s="66"/>
      <c r="F106" s="66"/>
      <c r="G106" s="120"/>
      <c r="H106" s="120"/>
      <c r="I106" s="121"/>
      <c r="J106" s="66"/>
    </row>
    <row r="107" spans="1:10" customFormat="1" ht="14.5">
      <c r="A107" s="62"/>
      <c r="B107" s="63"/>
      <c r="C107" s="66"/>
      <c r="D107" s="120"/>
      <c r="E107" s="64"/>
      <c r="F107" s="66"/>
      <c r="G107" s="66"/>
      <c r="H107" s="120"/>
      <c r="I107" s="121"/>
      <c r="J107" s="66"/>
    </row>
    <row r="108" spans="1:10" customFormat="1" ht="14.5">
      <c r="A108" s="62"/>
      <c r="B108" s="63"/>
      <c r="C108" s="66"/>
      <c r="D108" s="120"/>
      <c r="E108" s="64"/>
      <c r="F108" s="66"/>
      <c r="G108" s="66"/>
      <c r="H108" s="120"/>
      <c r="I108" s="121"/>
      <c r="J108" s="66"/>
    </row>
    <row r="109" spans="1:10" customFormat="1" ht="14.5">
      <c r="A109" s="62"/>
      <c r="B109" s="63"/>
      <c r="C109" s="66"/>
      <c r="D109" s="120"/>
      <c r="E109" s="64"/>
      <c r="F109" s="66"/>
      <c r="G109" s="66"/>
      <c r="H109" s="120"/>
      <c r="I109" s="121"/>
      <c r="J109" s="66"/>
    </row>
    <row r="110" spans="1:10" customFormat="1" ht="14.5">
      <c r="A110" s="62"/>
      <c r="B110" s="63"/>
      <c r="C110" s="66"/>
      <c r="D110" s="120"/>
      <c r="E110" s="64"/>
      <c r="F110" s="66"/>
      <c r="G110" s="66"/>
      <c r="H110" s="120"/>
      <c r="I110" s="121"/>
      <c r="J110" s="66"/>
    </row>
    <row r="111" spans="1:10" customFormat="1" ht="14.5">
      <c r="A111" s="62"/>
      <c r="B111" s="63"/>
      <c r="C111" s="66"/>
      <c r="D111" s="120"/>
      <c r="E111" s="66"/>
      <c r="F111" s="66"/>
      <c r="G111" s="120"/>
      <c r="H111" s="120"/>
      <c r="I111" s="121"/>
      <c r="J111" s="66"/>
    </row>
    <row r="112" spans="1:10" customFormat="1" ht="14.5">
      <c r="A112" s="62"/>
      <c r="B112" s="63"/>
      <c r="C112" s="66"/>
      <c r="D112" s="120"/>
      <c r="E112" s="66"/>
      <c r="F112" s="66"/>
      <c r="G112" s="120"/>
      <c r="H112" s="120"/>
      <c r="I112" s="121"/>
      <c r="J112" s="66"/>
    </row>
    <row r="113" spans="1:10" customFormat="1" ht="14.5">
      <c r="A113" s="62"/>
      <c r="B113" s="63"/>
      <c r="C113" s="66"/>
      <c r="D113" s="120"/>
      <c r="E113" s="66"/>
      <c r="F113" s="66"/>
      <c r="G113" s="120"/>
      <c r="H113" s="120"/>
      <c r="I113" s="121"/>
      <c r="J113" s="66"/>
    </row>
    <row r="114" spans="1:10" customFormat="1" ht="14.5">
      <c r="A114" s="62"/>
      <c r="B114" s="63"/>
      <c r="C114" s="66"/>
      <c r="D114" s="120"/>
      <c r="E114" s="66"/>
      <c r="F114" s="66"/>
      <c r="G114" s="120"/>
      <c r="H114" s="120"/>
      <c r="I114" s="121"/>
      <c r="J114" s="66"/>
    </row>
    <row r="115" spans="1:10" customFormat="1" ht="14.5">
      <c r="A115" s="62"/>
      <c r="B115" s="63"/>
      <c r="C115" s="66"/>
      <c r="D115" s="120"/>
      <c r="E115" s="66"/>
      <c r="F115" s="66"/>
      <c r="G115" s="120"/>
      <c r="H115" s="120"/>
      <c r="I115" s="121"/>
      <c r="J115" s="66"/>
    </row>
    <row r="116" spans="1:10" customFormat="1" ht="14.5">
      <c r="A116" s="62"/>
      <c r="B116" s="63"/>
      <c r="C116" s="66"/>
      <c r="D116" s="120"/>
      <c r="E116" s="66"/>
      <c r="F116" s="66"/>
      <c r="G116" s="120"/>
      <c r="H116" s="120"/>
      <c r="I116" s="121"/>
      <c r="J116" s="66"/>
    </row>
    <row r="117" spans="1:10" customFormat="1" ht="14.5">
      <c r="A117" s="62"/>
      <c r="B117" s="63"/>
      <c r="C117" s="66"/>
      <c r="D117" s="120"/>
      <c r="E117" s="66"/>
      <c r="F117" s="66"/>
      <c r="G117" s="120"/>
      <c r="H117" s="120"/>
      <c r="I117" s="121"/>
      <c r="J117" s="66"/>
    </row>
    <row r="118" spans="1:10" customFormat="1" ht="14.5">
      <c r="A118" s="62"/>
      <c r="B118" s="63"/>
      <c r="C118" s="66"/>
      <c r="D118" s="120"/>
      <c r="E118" s="140"/>
      <c r="F118" s="64"/>
      <c r="G118" s="141"/>
      <c r="H118" s="120"/>
      <c r="I118" s="65"/>
      <c r="J118" s="66"/>
    </row>
    <row r="119" spans="1:10" customFormat="1" ht="14.5">
      <c r="A119" s="62"/>
      <c r="B119" s="63"/>
      <c r="C119" s="66"/>
      <c r="D119" s="120"/>
      <c r="E119" s="140"/>
      <c r="F119" s="64"/>
      <c r="G119" s="141"/>
      <c r="H119" s="120"/>
      <c r="I119" s="65"/>
      <c r="J119" s="66"/>
    </row>
    <row r="120" spans="1:10" customFormat="1" ht="14.5">
      <c r="A120" s="62"/>
      <c r="B120" s="63"/>
      <c r="C120" s="66"/>
      <c r="D120" s="120"/>
      <c r="E120" s="140"/>
      <c r="F120" s="64"/>
      <c r="G120" s="141"/>
      <c r="H120" s="120"/>
      <c r="I120" s="65"/>
      <c r="J120" s="66"/>
    </row>
    <row r="121" spans="1:10" customFormat="1" ht="14.5">
      <c r="A121" s="62"/>
      <c r="B121" s="63"/>
      <c r="C121" s="64"/>
      <c r="D121" s="120"/>
      <c r="E121" s="140"/>
      <c r="F121" s="64"/>
      <c r="G121" s="141"/>
      <c r="H121" s="120"/>
      <c r="I121" s="65"/>
      <c r="J121" s="66"/>
    </row>
    <row r="122" spans="1:10" customFormat="1" ht="14.5">
      <c r="A122" s="62"/>
      <c r="B122" s="63"/>
      <c r="C122" s="66"/>
      <c r="D122" s="120"/>
      <c r="E122" s="140"/>
      <c r="F122" s="64"/>
      <c r="G122" s="141"/>
      <c r="H122" s="120"/>
      <c r="I122" s="65"/>
      <c r="J122" s="66"/>
    </row>
    <row r="123" spans="1:10" customFormat="1" ht="14.5">
      <c r="A123" s="62"/>
      <c r="B123" s="63"/>
      <c r="C123" s="64"/>
      <c r="D123" s="120"/>
      <c r="E123" s="140"/>
      <c r="F123" s="64"/>
      <c r="G123" s="141"/>
      <c r="H123" s="120"/>
      <c r="I123" s="65"/>
      <c r="J123" s="66"/>
    </row>
    <row r="124" spans="1:10" customFormat="1" ht="14.5">
      <c r="A124" s="62"/>
      <c r="B124" s="63"/>
      <c r="C124" s="64"/>
      <c r="D124" s="120"/>
      <c r="E124" s="140"/>
      <c r="F124" s="64"/>
      <c r="G124" s="141"/>
      <c r="H124" s="120"/>
      <c r="I124" s="65"/>
      <c r="J124" s="66"/>
    </row>
    <row r="125" spans="1:10" customFormat="1" ht="14.5">
      <c r="A125" s="62"/>
      <c r="B125" s="63"/>
      <c r="C125" s="66"/>
      <c r="D125" s="120"/>
      <c r="E125" s="140"/>
      <c r="F125" s="64"/>
      <c r="G125" s="141"/>
      <c r="H125" s="120"/>
      <c r="I125" s="65"/>
      <c r="J125" s="66"/>
    </row>
    <row r="126" spans="1:10" customFormat="1" ht="14.5">
      <c r="A126" s="62"/>
      <c r="B126" s="63"/>
      <c r="C126" s="66"/>
      <c r="D126" s="120"/>
      <c r="E126" s="140"/>
      <c r="F126" s="64"/>
      <c r="G126" s="141"/>
      <c r="H126" s="120"/>
      <c r="I126" s="65"/>
      <c r="J126" s="66"/>
    </row>
    <row r="127" spans="1:10" customFormat="1" ht="14.5">
      <c r="A127" s="62"/>
      <c r="B127" s="63"/>
      <c r="C127" s="64"/>
      <c r="D127" s="120"/>
      <c r="E127" s="140"/>
      <c r="F127" s="64"/>
      <c r="G127" s="141"/>
      <c r="H127" s="120"/>
      <c r="I127" s="65"/>
      <c r="J127" s="66"/>
    </row>
    <row r="128" spans="1:10" customFormat="1" ht="14.5">
      <c r="A128" s="62"/>
      <c r="B128" s="63"/>
      <c r="C128" s="64"/>
      <c r="D128" s="120"/>
      <c r="E128" s="140"/>
      <c r="F128" s="64"/>
      <c r="G128" s="141"/>
      <c r="H128" s="120"/>
      <c r="I128" s="65"/>
      <c r="J128" s="66"/>
    </row>
    <row r="129" spans="1:10" customFormat="1" ht="14.5">
      <c r="A129" s="62"/>
      <c r="B129" s="63"/>
      <c r="C129" s="66"/>
      <c r="D129" s="120"/>
      <c r="E129" s="140"/>
      <c r="F129" s="64"/>
      <c r="G129" s="141"/>
      <c r="H129" s="120"/>
      <c r="I129" s="65"/>
      <c r="J129" s="66"/>
    </row>
    <row r="130" spans="1:10" customFormat="1" ht="14.5">
      <c r="A130" s="62"/>
      <c r="B130" s="63"/>
      <c r="C130" s="66"/>
      <c r="D130" s="120"/>
      <c r="E130" s="140"/>
      <c r="F130" s="64"/>
      <c r="G130" s="141"/>
      <c r="H130" s="120"/>
      <c r="I130" s="65"/>
      <c r="J130" s="66"/>
    </row>
    <row r="131" spans="1:10" customFormat="1" ht="14.5">
      <c r="A131" s="62"/>
      <c r="B131" s="63"/>
      <c r="C131" s="66"/>
      <c r="D131" s="120"/>
      <c r="E131" s="140"/>
      <c r="F131" s="64"/>
      <c r="G131" s="141"/>
      <c r="H131" s="120"/>
      <c r="I131" s="65"/>
      <c r="J131" s="66"/>
    </row>
    <row r="132" spans="1:10" customFormat="1" ht="14.5">
      <c r="A132" s="62"/>
      <c r="B132" s="63"/>
      <c r="C132" s="66"/>
      <c r="D132" s="120"/>
      <c r="E132" s="140"/>
      <c r="F132" s="64"/>
      <c r="G132" s="141"/>
      <c r="H132" s="120"/>
      <c r="I132" s="65"/>
      <c r="J132" s="66"/>
    </row>
    <row r="133" spans="1:10" customFormat="1" ht="14.5">
      <c r="A133" s="62"/>
      <c r="B133" s="63"/>
      <c r="C133" s="66"/>
      <c r="D133" s="120"/>
      <c r="E133" s="140"/>
      <c r="F133" s="64"/>
      <c r="G133" s="141"/>
      <c r="H133" s="120"/>
      <c r="I133" s="65"/>
      <c r="J133" s="66"/>
    </row>
    <row r="134" spans="1:10" customFormat="1" ht="14.5">
      <c r="A134" s="62"/>
      <c r="B134" s="63"/>
      <c r="C134" s="66"/>
      <c r="D134" s="120"/>
      <c r="E134" s="140"/>
      <c r="F134" s="64"/>
      <c r="G134" s="141"/>
      <c r="H134" s="120"/>
      <c r="I134" s="65"/>
      <c r="J134" s="66"/>
    </row>
    <row r="135" spans="1:10" customFormat="1" ht="14.5">
      <c r="A135" s="62"/>
      <c r="B135" s="63"/>
      <c r="C135" s="64"/>
      <c r="D135" s="120"/>
      <c r="E135" s="140"/>
      <c r="F135" s="64"/>
      <c r="G135" s="141"/>
      <c r="H135" s="120"/>
      <c r="I135" s="65"/>
      <c r="J135" s="66"/>
    </row>
    <row r="136" spans="1:10" customFormat="1" ht="14.5">
      <c r="A136" s="62"/>
      <c r="B136" s="63"/>
      <c r="C136" s="64"/>
      <c r="D136" s="120"/>
      <c r="E136" s="140"/>
      <c r="F136" s="64"/>
      <c r="G136" s="141"/>
      <c r="H136" s="120"/>
      <c r="I136" s="65"/>
      <c r="J136" s="66"/>
    </row>
    <row r="137" spans="1:10" customFormat="1" ht="14.5">
      <c r="A137" s="62"/>
      <c r="B137" s="63"/>
      <c r="C137" s="66"/>
      <c r="D137" s="120"/>
      <c r="E137" s="140"/>
      <c r="F137" s="64"/>
      <c r="G137" s="141"/>
      <c r="H137" s="120"/>
      <c r="I137" s="65"/>
      <c r="J137" s="66"/>
    </row>
    <row r="138" spans="1:10" customFormat="1" ht="14.5">
      <c r="A138" s="62"/>
      <c r="B138" s="63"/>
      <c r="C138" s="66"/>
      <c r="D138" s="120"/>
      <c r="E138" s="140"/>
      <c r="F138" s="64"/>
      <c r="G138" s="141"/>
      <c r="H138" s="120"/>
      <c r="I138" s="65"/>
      <c r="J138" s="66"/>
    </row>
    <row r="139" spans="1:10" customFormat="1" ht="14.5">
      <c r="A139" s="62"/>
      <c r="B139" s="63"/>
      <c r="C139" s="66"/>
      <c r="D139" s="120"/>
      <c r="E139" s="140"/>
      <c r="F139" s="64"/>
      <c r="G139" s="141"/>
      <c r="H139" s="120"/>
      <c r="I139" s="65"/>
      <c r="J139" s="66"/>
    </row>
    <row r="140" spans="1:10" customFormat="1" ht="14.5">
      <c r="A140" s="62"/>
      <c r="B140" s="63"/>
      <c r="C140" s="66"/>
      <c r="D140" s="120"/>
      <c r="E140" s="140"/>
      <c r="F140" s="64"/>
      <c r="G140" s="141"/>
      <c r="H140" s="120"/>
      <c r="I140" s="65"/>
      <c r="J140" s="66"/>
    </row>
    <row r="141" spans="1:10" customFormat="1" ht="14.5">
      <c r="A141" s="62"/>
      <c r="B141" s="63"/>
      <c r="C141" s="66"/>
      <c r="D141" s="120"/>
      <c r="E141" s="140"/>
      <c r="F141" s="64"/>
      <c r="G141" s="141"/>
      <c r="H141" s="120"/>
      <c r="I141" s="65"/>
      <c r="J141" s="66"/>
    </row>
    <row r="142" spans="1:10" customFormat="1" ht="14.5">
      <c r="A142" s="62"/>
      <c r="B142" s="63"/>
      <c r="C142" s="66"/>
      <c r="D142" s="120"/>
      <c r="E142" s="140"/>
      <c r="F142" s="64"/>
      <c r="G142" s="141"/>
      <c r="H142" s="120"/>
      <c r="I142" s="65"/>
      <c r="J142" s="66"/>
    </row>
    <row r="143" spans="1:10" customFormat="1" ht="14.5">
      <c r="A143" s="62"/>
      <c r="B143" s="63"/>
      <c r="C143" s="66"/>
      <c r="D143" s="120"/>
      <c r="E143" s="140"/>
      <c r="F143" s="64"/>
      <c r="G143" s="141"/>
      <c r="H143" s="120"/>
      <c r="I143" s="65"/>
      <c r="J143" s="66"/>
    </row>
    <row r="144" spans="1:10" customFormat="1" ht="14.5">
      <c r="A144" s="62"/>
      <c r="B144" s="63"/>
      <c r="C144" s="66"/>
      <c r="D144" s="120"/>
      <c r="E144" s="140"/>
      <c r="F144" s="64"/>
      <c r="G144" s="141"/>
      <c r="H144" s="120"/>
      <c r="I144" s="65"/>
      <c r="J144" s="66"/>
    </row>
    <row r="145" spans="1:10" customFormat="1" ht="14.5">
      <c r="A145" s="62"/>
      <c r="B145" s="63"/>
      <c r="C145" s="66"/>
      <c r="D145" s="120"/>
      <c r="E145" s="140"/>
      <c r="F145" s="64"/>
      <c r="G145" s="141"/>
      <c r="H145" s="120"/>
      <c r="I145" s="65"/>
      <c r="J145" s="66"/>
    </row>
    <row r="146" spans="1:10" customFormat="1" ht="14.5">
      <c r="A146" s="62"/>
      <c r="B146" s="63"/>
      <c r="C146" s="64"/>
      <c r="D146" s="120"/>
      <c r="E146" s="66"/>
      <c r="F146" s="64"/>
      <c r="G146" s="141"/>
      <c r="H146" s="120"/>
      <c r="I146" s="142"/>
      <c r="J146" s="66"/>
    </row>
    <row r="147" spans="1:10" customFormat="1" ht="14.5">
      <c r="A147" s="62"/>
      <c r="B147" s="63"/>
      <c r="C147" s="64"/>
      <c r="D147" s="120"/>
      <c r="E147" s="66"/>
      <c r="F147" s="64"/>
      <c r="G147" s="141"/>
      <c r="H147" s="120"/>
      <c r="I147" s="142"/>
      <c r="J147" s="66"/>
    </row>
    <row r="148" spans="1:10" customFormat="1" ht="14.5">
      <c r="A148" s="62"/>
      <c r="B148" s="63"/>
      <c r="C148" s="64"/>
      <c r="D148" s="120"/>
      <c r="E148" s="66"/>
      <c r="F148" s="64"/>
      <c r="G148" s="141"/>
      <c r="H148" s="120"/>
      <c r="I148" s="142"/>
      <c r="J148" s="66"/>
    </row>
    <row r="149" spans="1:10" customFormat="1" ht="14.5">
      <c r="A149" s="62"/>
      <c r="B149" s="63"/>
      <c r="C149" s="64"/>
      <c r="D149" s="120"/>
      <c r="E149" s="66"/>
      <c r="F149" s="64"/>
      <c r="G149" s="141"/>
      <c r="H149" s="120"/>
      <c r="I149" s="142"/>
      <c r="J149" s="66"/>
    </row>
    <row r="150" spans="1:10" customFormat="1" ht="14.5">
      <c r="A150" s="62"/>
      <c r="B150" s="63"/>
      <c r="C150" s="64"/>
      <c r="D150" s="120"/>
      <c r="E150" s="66"/>
      <c r="F150" s="64"/>
      <c r="G150" s="141"/>
      <c r="H150" s="120"/>
      <c r="I150" s="142"/>
      <c r="J150" s="66"/>
    </row>
    <row r="151" spans="1:10" customFormat="1" ht="14.5">
      <c r="A151" s="62"/>
      <c r="B151" s="63"/>
      <c r="C151" s="64"/>
      <c r="D151" s="120"/>
      <c r="E151" s="66"/>
      <c r="F151" s="64"/>
      <c r="G151" s="141"/>
      <c r="H151" s="120"/>
      <c r="I151" s="142"/>
      <c r="J151" s="66"/>
    </row>
    <row r="152" spans="1:10" customFormat="1" ht="14.5">
      <c r="A152" s="62"/>
      <c r="B152" s="63"/>
      <c r="C152" s="64"/>
      <c r="D152" s="120"/>
      <c r="E152" s="66"/>
      <c r="F152" s="64"/>
      <c r="G152" s="141"/>
      <c r="H152" s="120"/>
      <c r="I152" s="142"/>
      <c r="J152" s="66"/>
    </row>
    <row r="153" spans="1:10" customFormat="1" ht="14.5">
      <c r="A153" s="62"/>
      <c r="B153" s="63"/>
      <c r="C153" s="64"/>
      <c r="D153" s="120"/>
      <c r="E153" s="66"/>
      <c r="F153" s="64"/>
      <c r="G153" s="141"/>
      <c r="H153" s="120"/>
      <c r="I153" s="142"/>
      <c r="J153" s="66"/>
    </row>
    <row r="154" spans="1:10" customFormat="1" ht="14.5">
      <c r="A154" s="62"/>
      <c r="B154" s="63"/>
      <c r="C154" s="64"/>
      <c r="D154" s="120"/>
      <c r="E154" s="66"/>
      <c r="F154" s="64"/>
      <c r="G154" s="141"/>
      <c r="H154" s="120"/>
      <c r="I154" s="142"/>
      <c r="J154" s="66"/>
    </row>
    <row r="155" spans="1:10" customFormat="1" ht="14.5">
      <c r="A155" s="62"/>
      <c r="B155" s="63"/>
      <c r="C155" s="64"/>
      <c r="D155" s="120"/>
      <c r="E155" s="66"/>
      <c r="F155" s="64"/>
      <c r="G155" s="141"/>
      <c r="H155" s="120"/>
      <c r="I155" s="142"/>
      <c r="J155" s="66"/>
    </row>
    <row r="156" spans="1:10" customFormat="1" ht="14.5">
      <c r="A156" s="62"/>
      <c r="B156" s="63"/>
      <c r="C156" s="64"/>
      <c r="D156" s="120"/>
      <c r="E156" s="66"/>
      <c r="F156" s="64"/>
      <c r="G156" s="141"/>
      <c r="H156" s="120"/>
      <c r="I156" s="142"/>
      <c r="J156" s="66"/>
    </row>
    <row r="157" spans="1:10" customFormat="1" ht="14.5">
      <c r="A157" s="62"/>
      <c r="B157" s="63"/>
      <c r="C157" s="64"/>
      <c r="D157" s="120"/>
      <c r="E157" s="66"/>
      <c r="F157" s="64"/>
      <c r="G157" s="141"/>
      <c r="H157" s="120"/>
      <c r="I157" s="142"/>
      <c r="J157" s="66"/>
    </row>
    <row r="158" spans="1:10" customFormat="1" ht="14.5">
      <c r="A158" s="62"/>
      <c r="B158" s="63"/>
      <c r="C158" s="64"/>
      <c r="D158" s="120"/>
      <c r="E158" s="66"/>
      <c r="F158" s="64"/>
      <c r="G158" s="141"/>
      <c r="H158" s="120"/>
      <c r="I158" s="142"/>
      <c r="J158" s="66"/>
    </row>
    <row r="159" spans="1:10" customFormat="1" ht="14.5">
      <c r="A159" s="62"/>
      <c r="B159" s="63"/>
      <c r="C159" s="64"/>
      <c r="D159" s="120"/>
      <c r="E159" s="66"/>
      <c r="F159" s="64"/>
      <c r="G159" s="141"/>
      <c r="H159" s="120"/>
      <c r="I159" s="142"/>
      <c r="J159" s="66"/>
    </row>
    <row r="160" spans="1:10" customFormat="1" ht="14.5">
      <c r="A160" s="62"/>
      <c r="B160" s="63"/>
      <c r="C160" s="64"/>
      <c r="D160" s="120"/>
      <c r="E160" s="66"/>
      <c r="F160" s="64"/>
      <c r="G160" s="141"/>
      <c r="H160" s="120"/>
      <c r="I160" s="142"/>
      <c r="J160" s="66"/>
    </row>
    <row r="161" spans="1:10" customFormat="1" ht="14.5">
      <c r="A161" s="62"/>
      <c r="B161" s="63"/>
      <c r="C161" s="64"/>
      <c r="D161" s="120"/>
      <c r="E161" s="66"/>
      <c r="F161" s="64"/>
      <c r="G161" s="141"/>
      <c r="H161" s="120"/>
      <c r="I161" s="142"/>
      <c r="J161" s="66"/>
    </row>
    <row r="162" spans="1:10" customFormat="1" ht="14.5">
      <c r="A162" s="62"/>
      <c r="B162" s="63"/>
      <c r="C162" s="64"/>
      <c r="D162" s="120"/>
      <c r="E162" s="66"/>
      <c r="F162" s="64"/>
      <c r="G162" s="141"/>
      <c r="H162" s="120"/>
      <c r="I162" s="142"/>
      <c r="J162" s="66"/>
    </row>
    <row r="163" spans="1:10" customFormat="1" ht="14.5">
      <c r="A163" s="62"/>
      <c r="B163" s="63"/>
      <c r="C163" s="64"/>
      <c r="D163" s="120"/>
      <c r="E163" s="66"/>
      <c r="F163" s="64"/>
      <c r="G163" s="141"/>
      <c r="H163" s="120"/>
      <c r="I163" s="142"/>
      <c r="J163" s="66"/>
    </row>
    <row r="164" spans="1:10" customFormat="1" ht="14.5">
      <c r="A164" s="62"/>
      <c r="B164" s="63"/>
      <c r="C164" s="64"/>
      <c r="D164" s="120"/>
      <c r="E164" s="66"/>
      <c r="F164" s="64"/>
      <c r="G164" s="141"/>
      <c r="H164" s="120"/>
      <c r="I164" s="142"/>
      <c r="J164" s="66"/>
    </row>
    <row r="165" spans="1:10" customFormat="1" ht="14.5">
      <c r="A165" s="62"/>
      <c r="B165" s="63"/>
      <c r="C165" s="64"/>
      <c r="D165" s="120"/>
      <c r="E165" s="66"/>
      <c r="F165" s="64"/>
      <c r="G165" s="141"/>
      <c r="H165" s="120"/>
      <c r="I165" s="142"/>
      <c r="J165" s="66"/>
    </row>
    <row r="166" spans="1:10" customFormat="1" ht="14.5">
      <c r="A166" s="62"/>
      <c r="B166" s="63"/>
      <c r="C166" s="64"/>
      <c r="D166" s="120"/>
      <c r="E166" s="66"/>
      <c r="F166" s="64"/>
      <c r="G166" s="141"/>
      <c r="H166" s="120"/>
      <c r="I166" s="142"/>
      <c r="J166" s="66"/>
    </row>
    <row r="167" spans="1:10" customFormat="1" ht="14.5">
      <c r="A167" s="62"/>
      <c r="B167" s="63"/>
      <c r="C167" s="64"/>
      <c r="D167" s="120"/>
      <c r="E167" s="66"/>
      <c r="F167" s="64"/>
      <c r="G167" s="141"/>
      <c r="H167" s="120"/>
      <c r="I167" s="142"/>
      <c r="J167" s="66"/>
    </row>
    <row r="168" spans="1:10" customFormat="1" ht="14.5">
      <c r="A168" s="62"/>
      <c r="B168" s="63"/>
      <c r="C168" s="64"/>
      <c r="D168" s="120"/>
      <c r="E168" s="66"/>
      <c r="F168" s="64"/>
      <c r="G168" s="141"/>
      <c r="H168" s="120"/>
      <c r="I168" s="142"/>
      <c r="J168" s="66"/>
    </row>
    <row r="169" spans="1:10" customFormat="1" ht="14.5">
      <c r="A169" s="62"/>
      <c r="B169" s="63"/>
      <c r="C169" s="64"/>
      <c r="D169" s="120"/>
      <c r="E169" s="66"/>
      <c r="F169" s="64"/>
      <c r="G169" s="141"/>
      <c r="H169" s="120"/>
      <c r="I169" s="142"/>
      <c r="J169" s="66"/>
    </row>
    <row r="170" spans="1:10" customFormat="1" ht="14.5">
      <c r="A170" s="62"/>
      <c r="B170" s="63"/>
      <c r="C170" s="64"/>
      <c r="D170" s="120"/>
      <c r="E170" s="66"/>
      <c r="F170" s="64"/>
      <c r="G170" s="141"/>
      <c r="H170" s="120"/>
      <c r="I170" s="142"/>
      <c r="J170" s="66"/>
    </row>
    <row r="171" spans="1:10" customFormat="1" ht="14.5">
      <c r="A171" s="62"/>
      <c r="B171" s="63"/>
      <c r="C171" s="64"/>
      <c r="D171" s="120"/>
      <c r="E171" s="66"/>
      <c r="F171" s="64"/>
      <c r="G171" s="141"/>
      <c r="H171" s="120"/>
      <c r="I171" s="142"/>
      <c r="J171" s="66"/>
    </row>
    <row r="172" spans="1:10" customFormat="1" ht="14.5">
      <c r="A172" s="62"/>
      <c r="B172" s="63"/>
      <c r="C172" s="64"/>
      <c r="D172" s="120"/>
      <c r="E172" s="66"/>
      <c r="F172" s="64"/>
      <c r="G172" s="141"/>
      <c r="H172" s="120"/>
      <c r="I172" s="142"/>
      <c r="J172" s="66"/>
    </row>
    <row r="173" spans="1:10" customFormat="1" ht="14.5">
      <c r="A173" s="62"/>
      <c r="B173" s="63"/>
      <c r="C173" s="64"/>
      <c r="D173" s="120"/>
      <c r="E173" s="66"/>
      <c r="F173" s="64"/>
      <c r="G173" s="141"/>
      <c r="H173" s="120"/>
      <c r="I173" s="142"/>
      <c r="J173" s="66"/>
    </row>
    <row r="174" spans="1:10" customFormat="1" ht="14.5">
      <c r="A174" s="62"/>
      <c r="B174" s="63"/>
      <c r="C174" s="64"/>
      <c r="D174" s="120"/>
      <c r="E174" s="66"/>
      <c r="F174" s="64"/>
      <c r="G174" s="141"/>
      <c r="H174" s="120"/>
      <c r="I174" s="142"/>
      <c r="J174" s="66"/>
    </row>
    <row r="175" spans="1:10" customFormat="1" ht="14.5">
      <c r="A175" s="62"/>
      <c r="B175" s="63"/>
      <c r="C175" s="64"/>
      <c r="D175" s="120"/>
      <c r="E175" s="66"/>
      <c r="F175" s="64"/>
      <c r="G175" s="141"/>
      <c r="H175" s="120"/>
      <c r="I175" s="142"/>
      <c r="J175" s="66"/>
    </row>
    <row r="176" spans="1:10" customFormat="1" ht="14.5">
      <c r="A176" s="62"/>
      <c r="B176" s="63"/>
      <c r="C176" s="64"/>
      <c r="D176" s="120"/>
      <c r="E176" s="66"/>
      <c r="F176" s="64"/>
      <c r="G176" s="141"/>
      <c r="H176" s="120"/>
      <c r="I176" s="142"/>
      <c r="J176" s="66"/>
    </row>
    <row r="177" spans="1:10" customFormat="1" ht="14.5">
      <c r="A177" s="62"/>
      <c r="B177" s="63"/>
      <c r="C177" s="64"/>
      <c r="D177" s="120"/>
      <c r="E177" s="66"/>
      <c r="F177" s="64"/>
      <c r="G177" s="141"/>
      <c r="H177" s="120"/>
      <c r="I177" s="142"/>
      <c r="J177" s="66"/>
    </row>
    <row r="178" spans="1:10" customFormat="1" ht="14.5">
      <c r="A178" s="62"/>
      <c r="B178" s="63"/>
      <c r="C178" s="64"/>
      <c r="D178" s="120"/>
      <c r="E178" s="66"/>
      <c r="F178" s="64"/>
      <c r="G178" s="141"/>
      <c r="H178" s="120"/>
      <c r="I178" s="142"/>
      <c r="J178" s="66"/>
    </row>
    <row r="179" spans="1:10" customFormat="1" ht="14.5">
      <c r="A179" s="62"/>
      <c r="B179" s="63"/>
      <c r="C179" s="64"/>
      <c r="D179" s="120"/>
      <c r="E179" s="66"/>
      <c r="F179" s="64"/>
      <c r="G179" s="141"/>
      <c r="H179" s="120"/>
      <c r="I179" s="142"/>
      <c r="J179" s="66"/>
    </row>
    <row r="180" spans="1:10" customFormat="1" ht="14.5">
      <c r="A180" s="62"/>
      <c r="B180" s="63"/>
      <c r="C180" s="64"/>
      <c r="D180" s="120"/>
      <c r="E180" s="66"/>
      <c r="F180" s="64"/>
      <c r="G180" s="141"/>
      <c r="H180" s="120"/>
      <c r="I180" s="142"/>
      <c r="J180" s="66"/>
    </row>
    <row r="181" spans="1:10" customFormat="1" ht="14.5">
      <c r="A181" s="62"/>
      <c r="B181" s="63"/>
      <c r="C181" s="64"/>
      <c r="D181" s="120"/>
      <c r="E181" s="66"/>
      <c r="F181" s="64"/>
      <c r="G181" s="141"/>
      <c r="H181" s="120"/>
      <c r="I181" s="142"/>
      <c r="J181" s="66"/>
    </row>
    <row r="182" spans="1:10" customFormat="1" ht="14.5">
      <c r="A182" s="62"/>
      <c r="B182" s="63"/>
      <c r="C182" s="66"/>
      <c r="D182" s="120"/>
      <c r="E182" s="66"/>
      <c r="F182" s="66"/>
      <c r="G182" s="120"/>
      <c r="H182" s="120"/>
      <c r="I182" s="95"/>
      <c r="J182" s="66"/>
    </row>
    <row r="183" spans="1:10" customFormat="1" ht="14.5">
      <c r="A183" s="62"/>
      <c r="B183" s="63"/>
      <c r="C183" s="66"/>
      <c r="D183" s="120"/>
      <c r="E183" s="66"/>
      <c r="F183" s="66"/>
      <c r="G183" s="120"/>
      <c r="H183" s="120"/>
      <c r="I183" s="95"/>
      <c r="J183" s="66"/>
    </row>
    <row r="184" spans="1:10" customFormat="1" ht="14.5">
      <c r="A184" s="62"/>
      <c r="B184" s="63"/>
      <c r="C184" s="66"/>
      <c r="D184" s="120"/>
      <c r="E184" s="66"/>
      <c r="F184" s="66"/>
      <c r="G184" s="120"/>
      <c r="H184" s="120"/>
      <c r="I184" s="95"/>
      <c r="J184" s="66"/>
    </row>
    <row r="185" spans="1:10" customFormat="1" ht="14.5">
      <c r="A185" s="62"/>
      <c r="B185" s="63"/>
      <c r="C185" s="66"/>
      <c r="D185" s="120"/>
      <c r="E185" s="66"/>
      <c r="F185" s="66"/>
      <c r="G185" s="120"/>
      <c r="H185" s="120"/>
      <c r="I185" s="95"/>
      <c r="J185" s="66"/>
    </row>
    <row r="186" spans="1:10" customFormat="1" ht="14.5">
      <c r="A186" s="62"/>
      <c r="B186" s="63"/>
      <c r="C186" s="66"/>
      <c r="D186" s="120"/>
      <c r="E186" s="66"/>
      <c r="F186" s="66"/>
      <c r="G186" s="120"/>
      <c r="H186" s="120"/>
      <c r="I186" s="95"/>
      <c r="J186" s="66"/>
    </row>
    <row r="187" spans="1:10" customFormat="1" ht="14.5">
      <c r="A187" s="62"/>
      <c r="B187" s="63"/>
      <c r="C187" s="66"/>
      <c r="D187" s="120"/>
      <c r="E187" s="66"/>
      <c r="F187" s="66"/>
      <c r="G187" s="120"/>
      <c r="H187" s="120"/>
      <c r="I187" s="95"/>
      <c r="J187" s="66"/>
    </row>
    <row r="188" spans="1:10" customFormat="1" ht="14.5">
      <c r="A188" s="62"/>
      <c r="B188" s="63"/>
      <c r="C188" s="66"/>
      <c r="D188" s="120"/>
      <c r="E188" s="66"/>
      <c r="F188" s="66"/>
      <c r="G188" s="120"/>
      <c r="H188" s="120"/>
      <c r="I188" s="95"/>
      <c r="J188" s="66"/>
    </row>
    <row r="189" spans="1:10" customFormat="1" ht="14.5">
      <c r="A189" s="62"/>
      <c r="B189" s="63"/>
      <c r="C189" s="66"/>
      <c r="D189" s="120"/>
      <c r="E189" s="66"/>
      <c r="F189" s="66"/>
      <c r="G189" s="120"/>
      <c r="H189" s="120"/>
      <c r="I189" s="95"/>
      <c r="J189" s="66"/>
    </row>
    <row r="190" spans="1:10" customFormat="1" ht="14.5">
      <c r="A190" s="62"/>
      <c r="B190" s="63"/>
      <c r="C190" s="66"/>
      <c r="D190" s="120"/>
      <c r="E190" s="66"/>
      <c r="F190" s="66"/>
      <c r="G190" s="120"/>
      <c r="H190" s="120"/>
      <c r="I190" s="95"/>
      <c r="J190" s="66"/>
    </row>
    <row r="191" spans="1:10" customFormat="1" ht="14.5">
      <c r="A191" s="62"/>
      <c r="B191" s="63"/>
      <c r="C191" s="66"/>
      <c r="D191" s="120"/>
      <c r="E191" s="66"/>
      <c r="F191" s="66"/>
      <c r="G191" s="120"/>
      <c r="H191" s="120"/>
      <c r="I191" s="95"/>
      <c r="J191" s="66"/>
    </row>
    <row r="192" spans="1:10" customFormat="1" ht="14.5">
      <c r="A192" s="62"/>
      <c r="B192" s="63"/>
      <c r="C192" s="66"/>
      <c r="D192" s="120"/>
      <c r="E192" s="66"/>
      <c r="F192" s="66"/>
      <c r="G192" s="120"/>
      <c r="H192" s="120"/>
      <c r="I192" s="95"/>
      <c r="J192" s="66"/>
    </row>
    <row r="193" spans="1:10" ht="14.5">
      <c r="A193" s="62"/>
      <c r="B193" s="63"/>
      <c r="C193" s="66"/>
      <c r="D193" s="120"/>
      <c r="E193" s="66"/>
      <c r="F193" s="66"/>
      <c r="G193" s="120"/>
      <c r="H193" s="120"/>
      <c r="I193" s="95"/>
      <c r="J193" s="66"/>
    </row>
    <row r="194" spans="1:10" ht="14.5">
      <c r="A194" s="62"/>
      <c r="B194" s="63"/>
      <c r="C194" s="66"/>
      <c r="D194" s="120"/>
      <c r="E194" s="66"/>
      <c r="F194" s="66"/>
      <c r="G194" s="120"/>
      <c r="H194" s="120"/>
      <c r="I194" s="95"/>
      <c r="J194" s="66"/>
    </row>
    <row r="195" spans="1:10" ht="14.5">
      <c r="A195" s="62"/>
      <c r="B195" s="63"/>
      <c r="C195" s="66"/>
      <c r="D195" s="120"/>
      <c r="E195" s="66"/>
      <c r="F195" s="66"/>
      <c r="G195" s="120"/>
      <c r="H195" s="120"/>
      <c r="I195" s="95"/>
      <c r="J195" s="66"/>
    </row>
    <row r="196" spans="1:10" ht="14.5">
      <c r="A196" s="62"/>
      <c r="B196" s="63"/>
      <c r="C196" s="66"/>
      <c r="D196" s="120"/>
      <c r="E196" s="66"/>
      <c r="F196" s="66"/>
      <c r="G196" s="120"/>
      <c r="H196" s="120"/>
      <c r="I196" s="95"/>
      <c r="J196" s="66"/>
    </row>
    <row r="197" spans="1:10" ht="14.5">
      <c r="A197" s="62"/>
      <c r="B197" s="63"/>
      <c r="C197" s="66"/>
      <c r="D197" s="120"/>
      <c r="E197" s="66"/>
      <c r="F197" s="66"/>
      <c r="G197" s="120"/>
      <c r="H197" s="120"/>
      <c r="I197" s="95"/>
      <c r="J197" s="66"/>
    </row>
    <row r="198" spans="1:10" ht="14.5">
      <c r="A198" s="62"/>
      <c r="B198" s="63"/>
      <c r="C198" s="66"/>
      <c r="D198" s="120"/>
      <c r="E198" s="66"/>
      <c r="F198" s="66"/>
      <c r="G198" s="120"/>
      <c r="H198" s="120"/>
      <c r="I198" s="95"/>
      <c r="J198" s="66"/>
    </row>
    <row r="199" spans="1:10" ht="14.5">
      <c r="A199" s="62"/>
      <c r="B199" s="63"/>
      <c r="C199" s="66"/>
      <c r="D199" s="120"/>
      <c r="E199" s="66"/>
      <c r="F199" s="66"/>
      <c r="G199" s="120"/>
      <c r="H199" s="120"/>
      <c r="I199" s="95"/>
      <c r="J199" s="66"/>
    </row>
    <row r="200" spans="1:10" ht="14.5">
      <c r="A200" s="62"/>
      <c r="B200" s="63"/>
      <c r="C200" s="66"/>
      <c r="D200" s="120"/>
      <c r="E200" s="66"/>
      <c r="F200" s="66"/>
      <c r="G200" s="120"/>
      <c r="H200" s="120"/>
      <c r="I200" s="95"/>
      <c r="J200" s="66"/>
    </row>
    <row r="201" spans="1:10" ht="15.75" customHeight="1">
      <c r="A201" s="62"/>
      <c r="B201" s="63"/>
      <c r="C201" s="66"/>
      <c r="D201" s="120"/>
      <c r="F201" s="117"/>
      <c r="G201" s="117"/>
      <c r="H201" s="120"/>
      <c r="I201" s="119"/>
      <c r="J201" s="66"/>
    </row>
    <row r="202" spans="1:10" ht="15.75" customHeight="1">
      <c r="A202" s="62"/>
      <c r="B202" s="63"/>
      <c r="C202" s="66"/>
      <c r="D202" s="120"/>
      <c r="F202" s="117"/>
      <c r="G202" s="117"/>
      <c r="H202" s="120"/>
      <c r="I202" s="119"/>
      <c r="J202" s="66"/>
    </row>
    <row r="203" spans="1:10" ht="15.75" customHeight="1">
      <c r="A203" s="62"/>
      <c r="B203" s="63"/>
      <c r="C203" s="66"/>
      <c r="D203" s="120"/>
      <c r="F203" s="117"/>
      <c r="G203" s="117"/>
      <c r="H203" s="120"/>
      <c r="I203" s="119"/>
      <c r="J203" s="66"/>
    </row>
    <row r="204" spans="1:10" ht="15.75" customHeight="1">
      <c r="A204" s="62"/>
      <c r="B204" s="63"/>
      <c r="C204" s="66"/>
      <c r="D204" s="120"/>
      <c r="F204" s="117"/>
      <c r="G204" s="117"/>
      <c r="H204" s="120"/>
      <c r="I204" s="119"/>
      <c r="J204" s="66"/>
    </row>
    <row r="205" spans="1:10" ht="15.75" customHeight="1">
      <c r="A205" s="62"/>
      <c r="B205" s="63"/>
      <c r="C205" s="66"/>
      <c r="D205" s="120"/>
      <c r="F205" s="117"/>
      <c r="G205" s="117"/>
      <c r="H205" s="120"/>
      <c r="I205" s="119"/>
      <c r="J205" s="66"/>
    </row>
    <row r="206" spans="1:10" ht="15.75" customHeight="1">
      <c r="A206" s="62"/>
      <c r="B206" s="63"/>
      <c r="C206" s="66"/>
      <c r="D206" s="120"/>
      <c r="F206" s="117"/>
      <c r="G206" s="117"/>
      <c r="H206" s="120"/>
      <c r="I206" s="119"/>
      <c r="J206" s="66"/>
    </row>
    <row r="207" spans="1:10" ht="15.75" customHeight="1">
      <c r="A207" s="62"/>
      <c r="B207" s="63"/>
      <c r="C207" s="66"/>
      <c r="D207" s="120"/>
      <c r="F207" s="117"/>
      <c r="G207" s="117"/>
      <c r="H207" s="120"/>
      <c r="I207" s="119"/>
      <c r="J207" s="66"/>
    </row>
    <row r="208" spans="1:10" ht="15.75" customHeight="1">
      <c r="A208" s="62"/>
      <c r="B208" s="63"/>
      <c r="C208" s="66"/>
      <c r="D208" s="120"/>
      <c r="F208" s="117"/>
      <c r="G208" s="117"/>
      <c r="H208" s="120"/>
      <c r="I208" s="119"/>
      <c r="J208" s="66"/>
    </row>
    <row r="209" spans="1:10" ht="15.75" customHeight="1">
      <c r="A209" s="62"/>
      <c r="B209" s="63"/>
      <c r="C209" s="66"/>
      <c r="D209" s="120"/>
      <c r="F209" s="117"/>
      <c r="G209" s="117"/>
      <c r="H209" s="120"/>
      <c r="I209" s="119"/>
      <c r="J209" s="66"/>
    </row>
    <row r="210" spans="1:10" ht="15.75" customHeight="1">
      <c r="A210" s="62"/>
      <c r="B210" s="63"/>
      <c r="C210" s="66"/>
      <c r="D210" s="120"/>
      <c r="F210" s="117"/>
      <c r="G210" s="117"/>
      <c r="H210" s="120"/>
      <c r="I210" s="119"/>
      <c r="J210" s="66"/>
    </row>
    <row r="211" spans="1:10" ht="15.75" customHeight="1">
      <c r="A211" s="62"/>
      <c r="B211" s="63"/>
      <c r="C211" s="66"/>
      <c r="D211" s="120"/>
      <c r="F211" s="117"/>
      <c r="G211" s="117"/>
      <c r="H211" s="120"/>
      <c r="I211" s="119"/>
      <c r="J211" s="66"/>
    </row>
  </sheetData>
  <autoFilter ref="A1:J65" xr:uid="{00000000-0001-0000-0400-000000000000}"/>
  <dataValidations count="3">
    <dataValidation type="list" allowBlank="1" showErrorMessage="1" sqref="D2:D47 D66:D211" xr:uid="{00000000-0002-0000-0400-000001000000}">
      <formula1>"GA,TA,PEOPLE PARTNER,BUSREL,FAT,COMPLIANCE,BOD,PRODEV,HC,HCGA,IT DEV"</formula1>
    </dataValidation>
    <dataValidation type="list" allowBlank="1" showErrorMessage="1" sqref="H65:H211 H55:H56 H2:H47" xr:uid="{00000000-0002-0000-0400-000002000000}">
      <formula1>"Grab Food,Go Food,Direct Order"</formula1>
    </dataValidation>
    <dataValidation type="list" allowBlank="1" showErrorMessage="1" sqref="J2:J211" xr:uid="{00000000-0002-0000-0400-000000000000}">
      <formula1>"Tangerang,Yogyakarta"</formula1>
    </dataValidation>
  </dataValidation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03"/>
  <sheetViews>
    <sheetView showGridLines="0" workbookViewId="0">
      <selection activeCell="D12" sqref="D12"/>
    </sheetView>
  </sheetViews>
  <sheetFormatPr defaultColWidth="12.54296875" defaultRowHeight="15.75" customHeight="1"/>
  <cols>
    <col min="1" max="1" width="15.81640625" style="2" customWidth="1"/>
    <col min="2" max="2" width="16.54296875" style="2" customWidth="1"/>
    <col min="3" max="16384" width="12.54296875" style="2"/>
  </cols>
  <sheetData>
    <row r="1" spans="1:5" ht="14.5">
      <c r="A1" s="24" t="s">
        <v>0</v>
      </c>
      <c r="B1" s="24" t="s">
        <v>741</v>
      </c>
      <c r="C1" s="24" t="s">
        <v>687</v>
      </c>
      <c r="D1" s="24" t="s">
        <v>688</v>
      </c>
      <c r="E1" s="24" t="s">
        <v>689</v>
      </c>
    </row>
    <row r="2" spans="1:5" ht="14.5">
      <c r="A2" s="33">
        <v>45689</v>
      </c>
      <c r="B2" s="34" t="s">
        <v>690</v>
      </c>
      <c r="C2" s="34">
        <v>16</v>
      </c>
      <c r="D2" s="26">
        <v>1398000</v>
      </c>
      <c r="E2" s="34">
        <v>1</v>
      </c>
    </row>
    <row r="3" spans="1:5" ht="14.5">
      <c r="A3" s="33">
        <v>45689</v>
      </c>
      <c r="B3" s="34" t="s">
        <v>691</v>
      </c>
      <c r="C3" s="34">
        <v>7</v>
      </c>
      <c r="D3" s="26">
        <v>625000</v>
      </c>
      <c r="E3" s="34">
        <v>1</v>
      </c>
    </row>
    <row r="4" spans="1:5" ht="14.5">
      <c r="A4" s="33">
        <v>45689</v>
      </c>
      <c r="B4" s="34" t="s">
        <v>692</v>
      </c>
      <c r="C4" s="34">
        <v>19</v>
      </c>
      <c r="D4" s="26">
        <v>1780000</v>
      </c>
      <c r="E4" s="34">
        <v>1</v>
      </c>
    </row>
    <row r="5" spans="1:5" ht="14.5">
      <c r="A5" s="33">
        <v>45748</v>
      </c>
      <c r="B5" s="34" t="s">
        <v>690</v>
      </c>
      <c r="C5" s="34">
        <v>7</v>
      </c>
      <c r="D5" s="26">
        <v>395000</v>
      </c>
      <c r="E5" s="34">
        <v>1</v>
      </c>
    </row>
    <row r="6" spans="1:5" ht="14.5">
      <c r="A6" s="33">
        <v>45748</v>
      </c>
      <c r="B6" s="34" t="s">
        <v>692</v>
      </c>
      <c r="C6" s="34">
        <v>14</v>
      </c>
      <c r="D6" s="26">
        <v>1769582</v>
      </c>
      <c r="E6" s="34">
        <v>1</v>
      </c>
    </row>
    <row r="7" spans="1:5" ht="14.5">
      <c r="A7" s="33"/>
      <c r="B7" s="34"/>
      <c r="C7" s="34"/>
      <c r="D7" s="26"/>
      <c r="E7" s="34"/>
    </row>
    <row r="8" spans="1:5" ht="14.5">
      <c r="A8" s="33"/>
      <c r="B8" s="34"/>
      <c r="C8" s="34"/>
      <c r="D8" s="26"/>
      <c r="E8" s="34"/>
    </row>
    <row r="9" spans="1:5" ht="14.5">
      <c r="A9" s="33"/>
      <c r="B9" s="34"/>
      <c r="C9" s="34"/>
      <c r="D9" s="26"/>
      <c r="E9" s="34"/>
    </row>
    <row r="10" spans="1:5" ht="14.5">
      <c r="A10" s="33"/>
      <c r="B10" s="34"/>
      <c r="C10" s="34"/>
      <c r="D10" s="26"/>
      <c r="E10" s="34"/>
    </row>
    <row r="11" spans="1:5" ht="14.5">
      <c r="A11" s="33"/>
      <c r="B11" s="34"/>
      <c r="C11" s="34"/>
      <c r="D11" s="26"/>
      <c r="E11" s="34"/>
    </row>
    <row r="12" spans="1:5" ht="14.5">
      <c r="A12" s="33"/>
      <c r="B12" s="34"/>
      <c r="C12" s="34"/>
      <c r="D12" s="26"/>
      <c r="E12" s="34"/>
    </row>
    <row r="13" spans="1:5" ht="14.5">
      <c r="A13" s="33"/>
      <c r="B13" s="34"/>
      <c r="C13" s="34"/>
      <c r="D13" s="26"/>
      <c r="E13" s="34"/>
    </row>
    <row r="14" spans="1:5" ht="14.5">
      <c r="A14" s="33"/>
      <c r="B14" s="34"/>
      <c r="C14" s="34"/>
      <c r="D14" s="26"/>
      <c r="E14" s="34"/>
    </row>
    <row r="15" spans="1:5" ht="14.5">
      <c r="A15" s="33"/>
      <c r="B15" s="34"/>
      <c r="C15" s="34"/>
      <c r="D15" s="26"/>
      <c r="E15" s="34"/>
    </row>
    <row r="16" spans="1:5" ht="14.5">
      <c r="A16" s="33"/>
      <c r="B16" s="34"/>
      <c r="C16" s="34"/>
      <c r="D16" s="26"/>
      <c r="E16" s="34"/>
    </row>
    <row r="17" spans="1:5" ht="14.5">
      <c r="A17" s="33"/>
      <c r="B17" s="34"/>
      <c r="C17" s="34"/>
      <c r="D17" s="26"/>
      <c r="E17" s="34"/>
    </row>
    <row r="18" spans="1:5" ht="14.5">
      <c r="A18" s="33"/>
      <c r="B18" s="34"/>
      <c r="C18" s="34"/>
      <c r="D18" s="26"/>
      <c r="E18" s="34"/>
    </row>
    <row r="19" spans="1:5" ht="14.5">
      <c r="A19" s="33"/>
      <c r="B19" s="34"/>
      <c r="C19" s="34"/>
      <c r="D19" s="26"/>
      <c r="E19" s="34"/>
    </row>
    <row r="20" spans="1:5" ht="14.5">
      <c r="A20" s="33"/>
      <c r="B20" s="34"/>
      <c r="C20" s="34"/>
      <c r="D20" s="26"/>
      <c r="E20" s="34"/>
    </row>
    <row r="21" spans="1:5" ht="14.5">
      <c r="A21" s="33"/>
      <c r="B21" s="34"/>
      <c r="C21" s="34"/>
      <c r="D21" s="26"/>
      <c r="E21" s="34"/>
    </row>
    <row r="22" spans="1:5" ht="14.5">
      <c r="A22" s="33"/>
      <c r="B22" s="34"/>
      <c r="C22" s="34"/>
      <c r="D22" s="26"/>
      <c r="E22" s="34"/>
    </row>
    <row r="23" spans="1:5" ht="14.5">
      <c r="A23" s="33"/>
      <c r="B23" s="34"/>
      <c r="C23" s="34"/>
      <c r="D23" s="26"/>
      <c r="E23" s="34"/>
    </row>
    <row r="24" spans="1:5" ht="14.5">
      <c r="A24" s="33"/>
      <c r="B24" s="34"/>
      <c r="C24" s="34"/>
      <c r="D24" s="26"/>
      <c r="E24" s="34"/>
    </row>
    <row r="25" spans="1:5" ht="14.5">
      <c r="A25" s="33"/>
      <c r="B25" s="34"/>
      <c r="C25" s="34"/>
      <c r="D25" s="26"/>
      <c r="E25" s="34"/>
    </row>
    <row r="26" spans="1:5" ht="14.5">
      <c r="A26" s="33"/>
      <c r="B26" s="34"/>
      <c r="C26" s="34"/>
      <c r="D26" s="26"/>
      <c r="E26" s="34"/>
    </row>
    <row r="27" spans="1:5" ht="14.5">
      <c r="A27" s="33"/>
      <c r="B27" s="34"/>
      <c r="C27" s="34"/>
      <c r="D27" s="26"/>
      <c r="E27" s="34"/>
    </row>
    <row r="28" spans="1:5" ht="14.5">
      <c r="A28" s="33"/>
      <c r="B28" s="34"/>
      <c r="C28" s="34"/>
      <c r="D28" s="26"/>
      <c r="E28" s="34"/>
    </row>
    <row r="29" spans="1:5" ht="14.5">
      <c r="A29" s="33"/>
      <c r="B29" s="34"/>
      <c r="C29" s="34"/>
      <c r="D29" s="26"/>
      <c r="E29" s="34"/>
    </row>
    <row r="30" spans="1:5" ht="14.5">
      <c r="A30" s="33"/>
      <c r="B30" s="34"/>
      <c r="C30" s="34"/>
      <c r="D30" s="26"/>
      <c r="E30" s="34"/>
    </row>
    <row r="31" spans="1:5" ht="14.5">
      <c r="A31" s="33"/>
      <c r="B31" s="34"/>
      <c r="C31" s="34"/>
      <c r="D31" s="26"/>
      <c r="E31" s="34"/>
    </row>
    <row r="32" spans="1:5" ht="14.5">
      <c r="A32" s="33"/>
      <c r="B32" s="34"/>
      <c r="C32" s="34"/>
      <c r="D32" s="26"/>
      <c r="E32" s="34"/>
    </row>
    <row r="33" spans="1:5" ht="14.5">
      <c r="A33" s="33"/>
      <c r="B33" s="34"/>
      <c r="C33" s="35"/>
      <c r="D33" s="26"/>
      <c r="E33" s="35"/>
    </row>
    <row r="34" spans="1:5" ht="14.5">
      <c r="A34" s="33"/>
      <c r="B34" s="34"/>
      <c r="C34" s="35"/>
      <c r="D34" s="26"/>
      <c r="E34" s="35"/>
    </row>
    <row r="35" spans="1:5" ht="14.5">
      <c r="A35" s="33"/>
      <c r="B35" s="34"/>
      <c r="C35" s="35"/>
      <c r="D35" s="26"/>
      <c r="E35" s="35"/>
    </row>
    <row r="36" spans="1:5" ht="14.5">
      <c r="A36" s="33"/>
      <c r="B36" s="34"/>
      <c r="C36" s="35"/>
      <c r="D36" s="26"/>
      <c r="E36" s="35"/>
    </row>
    <row r="37" spans="1:5" ht="14.5">
      <c r="A37" s="33"/>
      <c r="B37" s="34"/>
      <c r="C37" s="35"/>
      <c r="D37" s="26"/>
      <c r="E37" s="35"/>
    </row>
    <row r="38" spans="1:5" ht="14.5">
      <c r="A38" s="33"/>
      <c r="B38" s="34"/>
      <c r="C38" s="35"/>
      <c r="D38" s="26"/>
      <c r="E38" s="35"/>
    </row>
    <row r="39" spans="1:5" ht="14.5">
      <c r="A39" s="33"/>
      <c r="B39" s="34"/>
      <c r="C39" s="35"/>
      <c r="D39" s="26"/>
      <c r="E39" s="35"/>
    </row>
    <row r="40" spans="1:5" ht="14.5">
      <c r="A40" s="33"/>
      <c r="B40" s="34"/>
      <c r="C40" s="35"/>
      <c r="D40" s="26"/>
      <c r="E40" s="35"/>
    </row>
    <row r="41" spans="1:5" ht="14.5">
      <c r="A41" s="33"/>
      <c r="B41" s="34"/>
      <c r="C41" s="34"/>
      <c r="D41" s="26"/>
      <c r="E41" s="35"/>
    </row>
    <row r="42" spans="1:5" ht="14.5">
      <c r="A42" s="33"/>
      <c r="B42" s="34"/>
      <c r="C42" s="34"/>
      <c r="D42" s="26"/>
      <c r="E42" s="35"/>
    </row>
    <row r="43" spans="1:5" ht="14.5"/>
    <row r="44" spans="1:5" ht="14.5"/>
    <row r="45" spans="1:5" ht="14.5"/>
    <row r="46" spans="1:5" ht="14.5"/>
    <row r="47" spans="1:5" ht="14.5"/>
    <row r="48" spans="1:5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/>
    <row r="62" ht="14.5"/>
    <row r="63" ht="14.5"/>
    <row r="64" ht="14.5"/>
    <row r="65" ht="14.5"/>
    <row r="66" ht="14.5"/>
    <row r="67" ht="14.5"/>
    <row r="68" ht="14.5"/>
    <row r="69" ht="14.5"/>
    <row r="70" ht="14.5"/>
    <row r="71" ht="14.5"/>
    <row r="72" ht="14.5"/>
    <row r="73" ht="14.5"/>
    <row r="74" ht="14.5"/>
    <row r="75" ht="14.5"/>
    <row r="76" ht="14.5"/>
    <row r="77" ht="14.5"/>
    <row r="78" ht="14.5"/>
    <row r="79" ht="14.5"/>
    <row r="80" ht="14.5"/>
    <row r="81" ht="14.5"/>
    <row r="82" ht="14.5"/>
    <row r="83" ht="14.5"/>
    <row r="84" ht="14.5"/>
    <row r="85" ht="14.5"/>
    <row r="86" ht="14.5"/>
    <row r="87" ht="14.5"/>
    <row r="88" ht="14.5"/>
    <row r="89" ht="14.5"/>
    <row r="90" ht="14.5"/>
    <row r="91" ht="14.5"/>
    <row r="92" ht="14.5"/>
    <row r="93" ht="14.5"/>
    <row r="94" ht="14.5"/>
    <row r="95" ht="14.5"/>
    <row r="96" ht="14.5"/>
    <row r="97" ht="14.5"/>
    <row r="98" ht="14.5"/>
    <row r="99" ht="14.5"/>
    <row r="100" ht="14.5"/>
    <row r="101" ht="14.5"/>
    <row r="102" ht="14.5"/>
    <row r="103" ht="14.5"/>
    <row r="104" ht="14.5"/>
    <row r="105" ht="14.5"/>
    <row r="106" ht="14.5"/>
    <row r="107" ht="14.5"/>
    <row r="108" ht="14.5"/>
    <row r="109" ht="14.5"/>
    <row r="110" ht="14.5"/>
    <row r="111" ht="14.5"/>
    <row r="112" ht="14.5"/>
    <row r="113" ht="14.5"/>
    <row r="114" ht="14.5"/>
    <row r="115" ht="14.5"/>
    <row r="116" ht="14.5"/>
    <row r="117" ht="14.5"/>
    <row r="118" ht="14.5"/>
    <row r="119" ht="14.5"/>
    <row r="120" ht="14.5"/>
    <row r="121" ht="14.5"/>
    <row r="122" ht="14.5"/>
    <row r="123" ht="14.5"/>
    <row r="124" ht="14.5"/>
    <row r="125" ht="14.5"/>
    <row r="126" ht="14.5"/>
    <row r="127" ht="14.5"/>
    <row r="128" ht="14.5"/>
    <row r="129" ht="14.5"/>
    <row r="130" ht="14.5"/>
    <row r="131" ht="14.5"/>
    <row r="132" ht="14.5"/>
    <row r="133" ht="14.5"/>
    <row r="134" ht="14.5"/>
    <row r="135" ht="14.5"/>
    <row r="136" ht="14.5"/>
    <row r="137" ht="14.5"/>
    <row r="138" ht="14.5"/>
    <row r="139" ht="14.5"/>
    <row r="140" ht="14.5"/>
    <row r="141" ht="14.5"/>
    <row r="142" ht="14.5"/>
    <row r="143" ht="14.5"/>
    <row r="144" ht="14.5"/>
    <row r="145" ht="14.5"/>
    <row r="146" ht="14.5"/>
    <row r="147" ht="14.5"/>
    <row r="148" ht="14.5"/>
    <row r="149" ht="14.5"/>
    <row r="150" ht="14.5"/>
    <row r="151" ht="14.5"/>
    <row r="152" ht="14.5"/>
    <row r="153" ht="14.5"/>
    <row r="154" ht="14.5"/>
    <row r="155" ht="14.5"/>
    <row r="156" ht="14.5"/>
    <row r="157" ht="14.5"/>
    <row r="158" ht="14.5"/>
    <row r="159" ht="14.5"/>
    <row r="160" ht="14.5"/>
    <row r="161" ht="14.5"/>
    <row r="162" ht="14.5"/>
    <row r="163" ht="14.5"/>
    <row r="164" ht="14.5"/>
    <row r="165" ht="14.5"/>
    <row r="166" ht="14.5"/>
    <row r="167" ht="14.5"/>
    <row r="168" ht="14.5"/>
    <row r="169" ht="14.5"/>
    <row r="170" ht="14.5"/>
    <row r="171" ht="14.5"/>
    <row r="172" ht="14.5"/>
    <row r="173" ht="14.5"/>
    <row r="174" ht="14.5"/>
    <row r="175" ht="14.5"/>
    <row r="176" ht="14.5"/>
    <row r="177" ht="14.5"/>
    <row r="178" ht="14.5"/>
    <row r="179" ht="14.5"/>
    <row r="180" ht="14.5"/>
    <row r="181" ht="14.5"/>
    <row r="182" ht="14.5"/>
    <row r="183" ht="14.5"/>
    <row r="184" ht="14.5"/>
    <row r="185" ht="14.5"/>
    <row r="186" ht="14.5"/>
    <row r="187" ht="14.5"/>
    <row r="188" ht="14.5"/>
    <row r="189" ht="14.5"/>
    <row r="190" ht="14.5"/>
    <row r="191" ht="14.5"/>
    <row r="192" ht="14.5"/>
    <row r="193" ht="14.5"/>
    <row r="194" ht="14.5"/>
    <row r="195" ht="14.5"/>
    <row r="196" ht="14.5"/>
    <row r="197" ht="14.5"/>
    <row r="198" ht="14.5"/>
    <row r="199" ht="14.5"/>
    <row r="200" ht="14.5"/>
    <row r="201" ht="14.5"/>
    <row r="202" ht="14.5"/>
    <row r="203" ht="14.5"/>
    <row r="204" ht="14.5"/>
    <row r="205" ht="14.5"/>
    <row r="206" ht="14.5"/>
    <row r="207" ht="14.5"/>
    <row r="208" ht="14.5"/>
    <row r="209" ht="14.5"/>
    <row r="210" ht="14.5"/>
    <row r="211" ht="14.5"/>
    <row r="212" ht="14.5"/>
    <row r="213" ht="14.5"/>
    <row r="214" ht="14.5"/>
    <row r="215" ht="14.5"/>
    <row r="216" ht="14.5"/>
    <row r="217" ht="14.5"/>
    <row r="218" ht="14.5"/>
    <row r="219" ht="14.5"/>
    <row r="220" ht="14.5"/>
    <row r="221" ht="14.5"/>
    <row r="222" ht="14.5"/>
    <row r="223" ht="14.5"/>
    <row r="224" ht="14.5"/>
    <row r="225" ht="14.5"/>
    <row r="226" ht="14.5"/>
    <row r="227" ht="14.5"/>
    <row r="228" ht="14.5"/>
    <row r="229" ht="14.5"/>
    <row r="230" ht="14.5"/>
    <row r="231" ht="14.5"/>
    <row r="232" ht="14.5"/>
    <row r="233" ht="14.5"/>
    <row r="234" ht="14.5"/>
    <row r="235" ht="14.5"/>
    <row r="236" ht="14.5"/>
    <row r="237" ht="14.5"/>
    <row r="238" ht="14.5"/>
    <row r="239" ht="14.5"/>
    <row r="240" ht="14.5"/>
    <row r="241" ht="14.5"/>
    <row r="242" ht="14.5"/>
    <row r="243" ht="14.5"/>
    <row r="244" ht="14.5"/>
    <row r="245" ht="14.5"/>
    <row r="246" ht="14.5"/>
    <row r="247" ht="14.5"/>
    <row r="248" ht="14.5"/>
    <row r="249" ht="14.5"/>
    <row r="250" ht="14.5"/>
    <row r="251" ht="14.5"/>
    <row r="252" ht="14.5"/>
    <row r="253" ht="14.5"/>
    <row r="254" ht="14.5"/>
    <row r="255" ht="14.5"/>
    <row r="256" ht="14.5"/>
    <row r="257" ht="14.5"/>
    <row r="258" ht="14.5"/>
    <row r="259" ht="14.5"/>
    <row r="260" ht="14.5"/>
    <row r="261" ht="14.5"/>
    <row r="262" ht="14.5"/>
    <row r="263" ht="14.5"/>
    <row r="264" ht="14.5"/>
    <row r="265" ht="14.5"/>
    <row r="266" ht="14.5"/>
    <row r="267" ht="14.5"/>
    <row r="268" ht="14.5"/>
    <row r="269" ht="14.5"/>
    <row r="270" ht="14.5"/>
    <row r="271" ht="14.5"/>
    <row r="272" ht="14.5"/>
    <row r="273" ht="14.5"/>
    <row r="274" ht="14.5"/>
    <row r="275" ht="14.5"/>
    <row r="276" ht="14.5"/>
    <row r="277" ht="14.5"/>
    <row r="278" ht="14.5"/>
    <row r="279" ht="14.5"/>
    <row r="280" ht="14.5"/>
    <row r="281" ht="14.5"/>
    <row r="282" ht="14.5"/>
    <row r="283" ht="14.5"/>
    <row r="284" ht="14.5"/>
    <row r="285" ht="14.5"/>
    <row r="286" ht="14.5"/>
    <row r="287" ht="14.5"/>
    <row r="288" ht="14.5"/>
    <row r="289" ht="14.5"/>
    <row r="290" ht="14.5"/>
    <row r="291" ht="14.5"/>
    <row r="292" ht="14.5"/>
    <row r="293" ht="14.5"/>
    <row r="294" ht="14.5"/>
    <row r="295" ht="14.5"/>
    <row r="296" ht="14.5"/>
    <row r="297" ht="14.5"/>
    <row r="298" ht="14.5"/>
    <row r="299" ht="14.5"/>
    <row r="300" ht="14.5"/>
    <row r="301" ht="14.5"/>
    <row r="302" ht="14.5"/>
    <row r="303" ht="14.5"/>
    <row r="304" ht="14.5"/>
    <row r="305" ht="14.5"/>
    <row r="306" ht="14.5"/>
    <row r="307" ht="14.5"/>
    <row r="308" ht="14.5"/>
    <row r="309" ht="14.5"/>
    <row r="310" ht="14.5"/>
    <row r="311" ht="14.5"/>
    <row r="312" ht="14.5"/>
    <row r="313" ht="14.5"/>
    <row r="314" ht="14.5"/>
    <row r="315" ht="14.5"/>
    <row r="316" ht="14.5"/>
    <row r="317" ht="14.5"/>
    <row r="318" ht="14.5"/>
    <row r="319" ht="14.5"/>
    <row r="320" ht="14.5"/>
    <row r="321" ht="14.5"/>
    <row r="322" ht="14.5"/>
    <row r="323" ht="14.5"/>
    <row r="324" ht="14.5"/>
    <row r="325" ht="14.5"/>
    <row r="326" ht="14.5"/>
    <row r="327" ht="14.5"/>
    <row r="328" ht="14.5"/>
    <row r="329" ht="14.5"/>
    <row r="330" ht="14.5"/>
    <row r="331" ht="14.5"/>
    <row r="332" ht="14.5"/>
    <row r="333" ht="14.5"/>
    <row r="334" ht="14.5"/>
    <row r="335" ht="14.5"/>
    <row r="336" ht="14.5"/>
    <row r="337" ht="14.5"/>
    <row r="338" ht="14.5"/>
    <row r="339" ht="14.5"/>
    <row r="340" ht="14.5"/>
    <row r="341" ht="14.5"/>
    <row r="342" ht="14.5"/>
    <row r="343" ht="14.5"/>
    <row r="344" ht="14.5"/>
    <row r="345" ht="14.5"/>
    <row r="346" ht="14.5"/>
    <row r="347" ht="14.5"/>
    <row r="348" ht="14.5"/>
    <row r="349" ht="14.5"/>
    <row r="350" ht="14.5"/>
    <row r="351" ht="14.5"/>
    <row r="352" ht="14.5"/>
    <row r="353" ht="14.5"/>
    <row r="354" ht="14.5"/>
    <row r="355" ht="14.5"/>
    <row r="356" ht="14.5"/>
    <row r="357" ht="14.5"/>
    <row r="358" ht="14.5"/>
    <row r="359" ht="14.5"/>
    <row r="360" ht="14.5"/>
    <row r="361" ht="14.5"/>
    <row r="362" ht="14.5"/>
    <row r="363" ht="14.5"/>
    <row r="364" ht="14.5"/>
    <row r="365" ht="14.5"/>
    <row r="366" ht="14.5"/>
    <row r="367" ht="14.5"/>
    <row r="368" ht="14.5"/>
    <row r="369" ht="14.5"/>
    <row r="370" ht="14.5"/>
    <row r="371" ht="14.5"/>
    <row r="372" ht="14.5"/>
    <row r="373" ht="14.5"/>
    <row r="374" ht="14.5"/>
    <row r="375" ht="14.5"/>
    <row r="376" ht="14.5"/>
    <row r="377" ht="14.5"/>
    <row r="378" ht="14.5"/>
    <row r="379" ht="14.5"/>
    <row r="380" ht="14.5"/>
    <row r="381" ht="14.5"/>
    <row r="382" ht="14.5"/>
    <row r="383" ht="14.5"/>
    <row r="384" ht="14.5"/>
    <row r="385" ht="14.5"/>
    <row r="386" ht="14.5"/>
    <row r="387" ht="14.5"/>
    <row r="388" ht="14.5"/>
    <row r="389" ht="14.5"/>
    <row r="390" ht="14.5"/>
    <row r="391" ht="14.5"/>
    <row r="392" ht="14.5"/>
    <row r="393" ht="14.5"/>
    <row r="394" ht="14.5"/>
    <row r="395" ht="14.5"/>
    <row r="396" ht="14.5"/>
    <row r="397" ht="14.5"/>
    <row r="398" ht="14.5"/>
    <row r="399" ht="14.5"/>
    <row r="400" ht="14.5"/>
    <row r="401" ht="14.5"/>
    <row r="402" ht="14.5"/>
    <row r="403" ht="14.5"/>
    <row r="404" ht="14.5"/>
    <row r="405" ht="14.5"/>
    <row r="406" ht="14.5"/>
    <row r="407" ht="14.5"/>
    <row r="408" ht="14.5"/>
    <row r="409" ht="14.5"/>
    <row r="410" ht="14.5"/>
    <row r="411" ht="14.5"/>
    <row r="412" ht="14.5"/>
    <row r="413" ht="14.5"/>
    <row r="414" ht="14.5"/>
    <row r="415" ht="14.5"/>
    <row r="416" ht="14.5"/>
    <row r="417" ht="14.5"/>
    <row r="418" ht="14.5"/>
    <row r="419" ht="14.5"/>
    <row r="420" ht="14.5"/>
    <row r="421" ht="14.5"/>
    <row r="422" ht="14.5"/>
    <row r="423" ht="14.5"/>
    <row r="424" ht="14.5"/>
    <row r="425" ht="14.5"/>
    <row r="426" ht="14.5"/>
    <row r="427" ht="14.5"/>
    <row r="428" ht="14.5"/>
    <row r="429" ht="14.5"/>
    <row r="430" ht="14.5"/>
    <row r="431" ht="14.5"/>
    <row r="432" ht="14.5"/>
    <row r="433" ht="14.5"/>
    <row r="434" ht="14.5"/>
    <row r="435" ht="14.5"/>
    <row r="436" ht="14.5"/>
    <row r="437" ht="14.5"/>
    <row r="438" ht="14.5"/>
    <row r="439" ht="14.5"/>
    <row r="440" ht="14.5"/>
    <row r="441" ht="14.5"/>
    <row r="442" ht="14.5"/>
    <row r="443" ht="14.5"/>
    <row r="444" ht="14.5"/>
    <row r="445" ht="14.5"/>
    <row r="446" ht="14.5"/>
    <row r="447" ht="14.5"/>
    <row r="448" ht="14.5"/>
    <row r="449" ht="14.5"/>
    <row r="450" ht="14.5"/>
    <row r="451" ht="14.5"/>
    <row r="452" ht="14.5"/>
    <row r="453" ht="14.5"/>
    <row r="454" ht="14.5"/>
    <row r="455" ht="14.5"/>
    <row r="456" ht="14.5"/>
    <row r="457" ht="14.5"/>
    <row r="458" ht="14.5"/>
    <row r="459" ht="14.5"/>
    <row r="460" ht="14.5"/>
    <row r="461" ht="14.5"/>
    <row r="462" ht="14.5"/>
    <row r="463" ht="14.5"/>
    <row r="464" ht="14.5"/>
    <row r="465" ht="14.5"/>
    <row r="466" ht="14.5"/>
    <row r="467" ht="14.5"/>
    <row r="468" ht="14.5"/>
    <row r="469" ht="14.5"/>
    <row r="470" ht="14.5"/>
    <row r="471" ht="14.5"/>
    <row r="472" ht="14.5"/>
    <row r="473" ht="14.5"/>
    <row r="474" ht="14.5"/>
    <row r="475" ht="14.5"/>
    <row r="476" ht="14.5"/>
    <row r="477" ht="14.5"/>
    <row r="478" ht="14.5"/>
    <row r="479" ht="14.5"/>
    <row r="480" ht="14.5"/>
    <row r="481" ht="14.5"/>
    <row r="482" ht="14.5"/>
    <row r="483" ht="14.5"/>
    <row r="484" ht="14.5"/>
    <row r="485" ht="14.5"/>
    <row r="486" ht="14.5"/>
    <row r="487" ht="14.5"/>
    <row r="488" ht="14.5"/>
    <row r="489" ht="14.5"/>
    <row r="490" ht="14.5"/>
    <row r="491" ht="14.5"/>
    <row r="492" ht="14.5"/>
    <row r="493" ht="14.5"/>
    <row r="494" ht="14.5"/>
    <row r="495" ht="14.5"/>
    <row r="496" ht="14.5"/>
    <row r="497" ht="14.5"/>
    <row r="498" ht="14.5"/>
    <row r="499" ht="14.5"/>
    <row r="500" ht="14.5"/>
    <row r="501" ht="14.5"/>
    <row r="502" ht="14.5"/>
    <row r="503" ht="14.5"/>
    <row r="504" ht="14.5"/>
    <row r="505" ht="14.5"/>
    <row r="506" ht="14.5"/>
    <row r="507" ht="14.5"/>
    <row r="508" ht="14.5"/>
    <row r="509" ht="14.5"/>
    <row r="510" ht="14.5"/>
    <row r="511" ht="14.5"/>
    <row r="512" ht="14.5"/>
    <row r="513" ht="14.5"/>
    <row r="514" ht="14.5"/>
    <row r="515" ht="14.5"/>
    <row r="516" ht="14.5"/>
    <row r="517" ht="14.5"/>
    <row r="518" ht="14.5"/>
    <row r="519" ht="14.5"/>
    <row r="520" ht="14.5"/>
    <row r="521" ht="14.5"/>
    <row r="522" ht="14.5"/>
    <row r="523" ht="14.5"/>
    <row r="524" ht="14.5"/>
    <row r="525" ht="14.5"/>
    <row r="526" ht="14.5"/>
    <row r="527" ht="14.5"/>
    <row r="528" ht="14.5"/>
    <row r="529" ht="14.5"/>
    <row r="530" ht="14.5"/>
    <row r="531" ht="14.5"/>
    <row r="532" ht="14.5"/>
    <row r="533" ht="14.5"/>
    <row r="534" ht="14.5"/>
    <row r="535" ht="14.5"/>
    <row r="536" ht="14.5"/>
    <row r="537" ht="14.5"/>
    <row r="538" ht="14.5"/>
    <row r="539" ht="14.5"/>
    <row r="540" ht="14.5"/>
    <row r="541" ht="14.5"/>
    <row r="542" ht="14.5"/>
    <row r="543" ht="14.5"/>
    <row r="544" ht="14.5"/>
    <row r="545" ht="14.5"/>
    <row r="546" ht="14.5"/>
    <row r="547" ht="14.5"/>
    <row r="548" ht="14.5"/>
    <row r="549" ht="14.5"/>
    <row r="550" ht="14.5"/>
    <row r="551" ht="14.5"/>
    <row r="552" ht="14.5"/>
    <row r="553" ht="14.5"/>
    <row r="554" ht="14.5"/>
    <row r="555" ht="14.5"/>
    <row r="556" ht="14.5"/>
    <row r="557" ht="14.5"/>
    <row r="558" ht="14.5"/>
    <row r="559" ht="14.5"/>
    <row r="560" ht="14.5"/>
    <row r="561" ht="14.5"/>
    <row r="562" ht="14.5"/>
    <row r="563" ht="14.5"/>
    <row r="564" ht="14.5"/>
    <row r="565" ht="14.5"/>
    <row r="566" ht="14.5"/>
    <row r="567" ht="14.5"/>
    <row r="568" ht="14.5"/>
    <row r="569" ht="14.5"/>
    <row r="570" ht="14.5"/>
    <row r="571" ht="14.5"/>
    <row r="572" ht="14.5"/>
    <row r="573" ht="14.5"/>
    <row r="574" ht="14.5"/>
    <row r="575" ht="14.5"/>
    <row r="576" ht="14.5"/>
    <row r="577" ht="14.5"/>
    <row r="578" ht="14.5"/>
    <row r="579" ht="14.5"/>
    <row r="580" ht="14.5"/>
    <row r="581" ht="14.5"/>
    <row r="582" ht="14.5"/>
    <row r="583" ht="14.5"/>
    <row r="584" ht="14.5"/>
    <row r="585" ht="14.5"/>
    <row r="586" ht="14.5"/>
    <row r="587" ht="14.5"/>
    <row r="588" ht="14.5"/>
    <row r="589" ht="14.5"/>
    <row r="590" ht="14.5"/>
    <row r="591" ht="14.5"/>
    <row r="592" ht="14.5"/>
    <row r="593" ht="14.5"/>
    <row r="594" ht="14.5"/>
    <row r="595" ht="14.5"/>
    <row r="596" ht="14.5"/>
    <row r="597" ht="14.5"/>
    <row r="598" ht="14.5"/>
    <row r="599" ht="14.5"/>
    <row r="600" ht="14.5"/>
    <row r="601" ht="14.5"/>
    <row r="602" ht="14.5"/>
    <row r="603" ht="14.5"/>
    <row r="604" ht="14.5"/>
    <row r="605" ht="14.5"/>
    <row r="606" ht="14.5"/>
    <row r="607" ht="14.5"/>
    <row r="608" ht="14.5"/>
    <row r="609" ht="14.5"/>
    <row r="610" ht="14.5"/>
    <row r="611" ht="14.5"/>
    <row r="612" ht="14.5"/>
    <row r="613" ht="14.5"/>
    <row r="614" ht="14.5"/>
    <row r="615" ht="14.5"/>
    <row r="616" ht="14.5"/>
    <row r="617" ht="14.5"/>
    <row r="618" ht="14.5"/>
    <row r="619" ht="14.5"/>
    <row r="620" ht="14.5"/>
    <row r="621" ht="14.5"/>
    <row r="622" ht="14.5"/>
    <row r="623" ht="14.5"/>
    <row r="624" ht="14.5"/>
    <row r="625" ht="14.5"/>
    <row r="626" ht="14.5"/>
    <row r="627" ht="14.5"/>
    <row r="628" ht="14.5"/>
    <row r="629" ht="14.5"/>
    <row r="630" ht="14.5"/>
    <row r="631" ht="14.5"/>
    <row r="632" ht="14.5"/>
    <row r="633" ht="14.5"/>
    <row r="634" ht="14.5"/>
    <row r="635" ht="14.5"/>
    <row r="636" ht="14.5"/>
    <row r="637" ht="14.5"/>
    <row r="638" ht="14.5"/>
    <row r="639" ht="14.5"/>
    <row r="640" ht="14.5"/>
    <row r="641" ht="14.5"/>
    <row r="642" ht="14.5"/>
    <row r="643" ht="14.5"/>
    <row r="644" ht="14.5"/>
    <row r="645" ht="14.5"/>
    <row r="646" ht="14.5"/>
    <row r="647" ht="14.5"/>
    <row r="648" ht="14.5"/>
    <row r="649" ht="14.5"/>
    <row r="650" ht="14.5"/>
    <row r="651" ht="14.5"/>
    <row r="652" ht="14.5"/>
    <row r="653" ht="14.5"/>
    <row r="654" ht="14.5"/>
    <row r="655" ht="14.5"/>
    <row r="656" ht="14.5"/>
    <row r="657" ht="14.5"/>
    <row r="658" ht="14.5"/>
    <row r="659" ht="14.5"/>
    <row r="660" ht="14.5"/>
    <row r="661" ht="14.5"/>
    <row r="662" ht="14.5"/>
    <row r="663" ht="14.5"/>
    <row r="664" ht="14.5"/>
    <row r="665" ht="14.5"/>
    <row r="666" ht="14.5"/>
    <row r="667" ht="14.5"/>
    <row r="668" ht="14.5"/>
    <row r="669" ht="14.5"/>
    <row r="670" ht="14.5"/>
    <row r="671" ht="14.5"/>
    <row r="672" ht="14.5"/>
    <row r="673" ht="14.5"/>
    <row r="674" ht="14.5"/>
    <row r="675" ht="14.5"/>
    <row r="676" ht="14.5"/>
    <row r="677" ht="14.5"/>
    <row r="678" ht="14.5"/>
    <row r="679" ht="14.5"/>
    <row r="680" ht="14.5"/>
    <row r="681" ht="14.5"/>
    <row r="682" ht="14.5"/>
    <row r="683" ht="14.5"/>
    <row r="684" ht="14.5"/>
    <row r="685" ht="14.5"/>
    <row r="686" ht="14.5"/>
    <row r="687" ht="14.5"/>
    <row r="688" ht="14.5"/>
    <row r="689" ht="14.5"/>
    <row r="690" ht="14.5"/>
    <row r="691" ht="14.5"/>
    <row r="692" ht="14.5"/>
    <row r="693" ht="14.5"/>
    <row r="694" ht="14.5"/>
    <row r="695" ht="14.5"/>
    <row r="696" ht="14.5"/>
    <row r="697" ht="14.5"/>
    <row r="698" ht="14.5"/>
    <row r="699" ht="14.5"/>
    <row r="700" ht="14.5"/>
    <row r="701" ht="14.5"/>
    <row r="702" ht="14.5"/>
    <row r="703" ht="14.5"/>
    <row r="704" ht="14.5"/>
    <row r="705" ht="14.5"/>
    <row r="706" ht="14.5"/>
    <row r="707" ht="14.5"/>
    <row r="708" ht="14.5"/>
    <row r="709" ht="14.5"/>
    <row r="710" ht="14.5"/>
    <row r="711" ht="14.5"/>
    <row r="712" ht="14.5"/>
    <row r="713" ht="14.5"/>
    <row r="714" ht="14.5"/>
    <row r="715" ht="14.5"/>
    <row r="716" ht="14.5"/>
    <row r="717" ht="14.5"/>
    <row r="718" ht="14.5"/>
    <row r="719" ht="14.5"/>
    <row r="720" ht="14.5"/>
    <row r="721" ht="14.5"/>
    <row r="722" ht="14.5"/>
    <row r="723" ht="14.5"/>
    <row r="724" ht="14.5"/>
    <row r="725" ht="14.5"/>
    <row r="726" ht="14.5"/>
    <row r="727" ht="14.5"/>
    <row r="728" ht="14.5"/>
    <row r="729" ht="14.5"/>
    <row r="730" ht="14.5"/>
    <row r="731" ht="14.5"/>
    <row r="732" ht="14.5"/>
    <row r="733" ht="14.5"/>
    <row r="734" ht="14.5"/>
    <row r="735" ht="14.5"/>
    <row r="736" ht="14.5"/>
    <row r="737" ht="14.5"/>
    <row r="738" ht="14.5"/>
    <row r="739" ht="14.5"/>
    <row r="740" ht="14.5"/>
    <row r="741" ht="14.5"/>
    <row r="742" ht="14.5"/>
    <row r="743" ht="14.5"/>
    <row r="744" ht="14.5"/>
    <row r="745" ht="14.5"/>
    <row r="746" ht="14.5"/>
    <row r="747" ht="14.5"/>
    <row r="748" ht="14.5"/>
    <row r="749" ht="14.5"/>
    <row r="750" ht="14.5"/>
    <row r="751" ht="14.5"/>
    <row r="752" ht="14.5"/>
    <row r="753" ht="14.5"/>
    <row r="754" ht="14.5"/>
    <row r="755" ht="14.5"/>
    <row r="756" ht="14.5"/>
    <row r="757" ht="14.5"/>
    <row r="758" ht="14.5"/>
    <row r="759" ht="14.5"/>
    <row r="760" ht="14.5"/>
    <row r="761" ht="14.5"/>
    <row r="762" ht="14.5"/>
    <row r="763" ht="14.5"/>
    <row r="764" ht="14.5"/>
    <row r="765" ht="14.5"/>
    <row r="766" ht="14.5"/>
    <row r="767" ht="14.5"/>
    <row r="768" ht="14.5"/>
    <row r="769" ht="14.5"/>
    <row r="770" ht="14.5"/>
    <row r="771" ht="14.5"/>
    <row r="772" ht="14.5"/>
    <row r="773" ht="14.5"/>
    <row r="774" ht="14.5"/>
    <row r="775" ht="14.5"/>
    <row r="776" ht="14.5"/>
    <row r="777" ht="14.5"/>
    <row r="778" ht="14.5"/>
    <row r="779" ht="14.5"/>
    <row r="780" ht="14.5"/>
    <row r="781" ht="14.5"/>
    <row r="782" ht="14.5"/>
    <row r="783" ht="14.5"/>
    <row r="784" ht="14.5"/>
    <row r="785" ht="14.5"/>
    <row r="786" ht="14.5"/>
    <row r="787" ht="14.5"/>
    <row r="788" ht="14.5"/>
    <row r="789" ht="14.5"/>
    <row r="790" ht="14.5"/>
    <row r="791" ht="14.5"/>
    <row r="792" ht="14.5"/>
    <row r="793" ht="14.5"/>
    <row r="794" ht="14.5"/>
    <row r="795" ht="14.5"/>
    <row r="796" ht="14.5"/>
    <row r="797" ht="14.5"/>
    <row r="798" ht="14.5"/>
    <row r="799" ht="14.5"/>
    <row r="800" ht="14.5"/>
    <row r="801" ht="14.5"/>
    <row r="802" ht="14.5"/>
    <row r="803" ht="14.5"/>
    <row r="804" ht="14.5"/>
    <row r="805" ht="14.5"/>
    <row r="806" ht="14.5"/>
    <row r="807" ht="14.5"/>
    <row r="808" ht="14.5"/>
    <row r="809" ht="14.5"/>
    <row r="810" ht="14.5"/>
    <row r="811" ht="14.5"/>
    <row r="812" ht="14.5"/>
    <row r="813" ht="14.5"/>
    <row r="814" ht="14.5"/>
    <row r="815" ht="14.5"/>
    <row r="816" ht="14.5"/>
    <row r="817" ht="14.5"/>
    <row r="818" ht="14.5"/>
    <row r="819" ht="14.5"/>
    <row r="820" ht="14.5"/>
    <row r="821" ht="14.5"/>
    <row r="822" ht="14.5"/>
    <row r="823" ht="14.5"/>
    <row r="824" ht="14.5"/>
    <row r="825" ht="14.5"/>
    <row r="826" ht="14.5"/>
    <row r="827" ht="14.5"/>
    <row r="828" ht="14.5"/>
    <row r="829" ht="14.5"/>
    <row r="830" ht="14.5"/>
    <row r="831" ht="14.5"/>
    <row r="832" ht="14.5"/>
    <row r="833" ht="14.5"/>
    <row r="834" ht="14.5"/>
    <row r="835" ht="14.5"/>
    <row r="836" ht="14.5"/>
    <row r="837" ht="14.5"/>
    <row r="838" ht="14.5"/>
    <row r="839" ht="14.5"/>
    <row r="840" ht="14.5"/>
    <row r="841" ht="14.5"/>
    <row r="842" ht="14.5"/>
    <row r="843" ht="14.5"/>
    <row r="844" ht="14.5"/>
    <row r="845" ht="14.5"/>
    <row r="846" ht="14.5"/>
    <row r="847" ht="14.5"/>
    <row r="848" ht="14.5"/>
    <row r="849" ht="14.5"/>
    <row r="850" ht="14.5"/>
    <row r="851" ht="14.5"/>
    <row r="852" ht="14.5"/>
    <row r="853" ht="14.5"/>
    <row r="854" ht="14.5"/>
    <row r="855" ht="14.5"/>
    <row r="856" ht="14.5"/>
    <row r="857" ht="14.5"/>
    <row r="858" ht="14.5"/>
    <row r="859" ht="14.5"/>
    <row r="860" ht="14.5"/>
    <row r="861" ht="14.5"/>
    <row r="862" ht="14.5"/>
    <row r="863" ht="14.5"/>
    <row r="864" ht="14.5"/>
    <row r="865" ht="14.5"/>
    <row r="866" ht="14.5"/>
    <row r="867" ht="14.5"/>
    <row r="868" ht="14.5"/>
    <row r="869" ht="14.5"/>
    <row r="870" ht="14.5"/>
    <row r="871" ht="14.5"/>
    <row r="872" ht="14.5"/>
    <row r="873" ht="14.5"/>
    <row r="874" ht="14.5"/>
    <row r="875" ht="14.5"/>
    <row r="876" ht="14.5"/>
    <row r="877" ht="14.5"/>
    <row r="878" ht="14.5"/>
    <row r="879" ht="14.5"/>
    <row r="880" ht="14.5"/>
    <row r="881" ht="14.5"/>
    <row r="882" ht="14.5"/>
    <row r="883" ht="14.5"/>
    <row r="884" ht="14.5"/>
    <row r="885" ht="14.5"/>
    <row r="886" ht="14.5"/>
    <row r="887" ht="14.5"/>
    <row r="888" ht="14.5"/>
    <row r="889" ht="14.5"/>
    <row r="890" ht="14.5"/>
    <row r="891" ht="14.5"/>
    <row r="892" ht="14.5"/>
    <row r="893" ht="14.5"/>
    <row r="894" ht="14.5"/>
    <row r="895" ht="14.5"/>
    <row r="896" ht="14.5"/>
    <row r="897" ht="14.5"/>
    <row r="898" ht="14.5"/>
    <row r="899" ht="14.5"/>
    <row r="900" ht="14.5"/>
    <row r="901" ht="14.5"/>
    <row r="902" ht="14.5"/>
    <row r="903" ht="14.5"/>
    <row r="904" ht="14.5"/>
    <row r="905" ht="14.5"/>
    <row r="906" ht="14.5"/>
    <row r="907" ht="14.5"/>
    <row r="908" ht="14.5"/>
    <row r="909" ht="14.5"/>
    <row r="910" ht="14.5"/>
    <row r="911" ht="14.5"/>
    <row r="912" ht="14.5"/>
    <row r="913" ht="14.5"/>
    <row r="914" ht="14.5"/>
    <row r="915" ht="14.5"/>
    <row r="916" ht="14.5"/>
    <row r="917" ht="14.5"/>
    <row r="918" ht="14.5"/>
    <row r="919" ht="14.5"/>
    <row r="920" ht="14.5"/>
    <row r="921" ht="14.5"/>
    <row r="922" ht="14.5"/>
    <row r="923" ht="14.5"/>
    <row r="924" ht="14.5"/>
    <row r="925" ht="14.5"/>
    <row r="926" ht="14.5"/>
    <row r="927" ht="14.5"/>
    <row r="928" ht="14.5"/>
    <row r="929" ht="14.5"/>
    <row r="930" ht="14.5"/>
    <row r="931" ht="14.5"/>
    <row r="932" ht="14.5"/>
    <row r="933" ht="14.5"/>
    <row r="934" ht="14.5"/>
    <row r="935" ht="14.5"/>
    <row r="936" ht="14.5"/>
    <row r="937" ht="14.5"/>
    <row r="938" ht="14.5"/>
    <row r="939" ht="14.5"/>
    <row r="940" ht="14.5"/>
    <row r="941" ht="14.5"/>
    <row r="942" ht="14.5"/>
    <row r="943" ht="14.5"/>
    <row r="944" ht="14.5"/>
    <row r="945" ht="14.5"/>
    <row r="946" ht="14.5"/>
    <row r="947" ht="14.5"/>
    <row r="948" ht="14.5"/>
    <row r="949" ht="14.5"/>
    <row r="950" ht="14.5"/>
    <row r="951" ht="14.5"/>
    <row r="952" ht="14.5"/>
    <row r="953" ht="14.5"/>
    <row r="954" ht="14.5"/>
    <row r="955" ht="14.5"/>
    <row r="956" ht="14.5"/>
    <row r="957" ht="14.5"/>
    <row r="958" ht="14.5"/>
    <row r="959" ht="14.5"/>
    <row r="960" ht="14.5"/>
    <row r="961" ht="14.5"/>
    <row r="962" ht="14.5"/>
    <row r="963" ht="14.5"/>
    <row r="964" ht="14.5"/>
    <row r="965" ht="14.5"/>
    <row r="966" ht="14.5"/>
    <row r="967" ht="14.5"/>
    <row r="968" ht="14.5"/>
    <row r="969" ht="14.5"/>
    <row r="970" ht="14.5"/>
    <row r="971" ht="14.5"/>
    <row r="972" ht="14.5"/>
    <row r="973" ht="14.5"/>
    <row r="974" ht="14.5"/>
    <row r="975" ht="14.5"/>
    <row r="976" ht="14.5"/>
    <row r="977" ht="14.5"/>
    <row r="978" ht="14.5"/>
    <row r="979" ht="14.5"/>
    <row r="980" ht="14.5"/>
    <row r="981" ht="14.5"/>
    <row r="982" ht="14.5"/>
    <row r="983" ht="14.5"/>
    <row r="984" ht="14.5"/>
    <row r="985" ht="14.5"/>
    <row r="986" ht="14.5"/>
    <row r="987" ht="14.5"/>
    <row r="988" ht="14.5"/>
    <row r="989" ht="14.5"/>
    <row r="990" ht="14.5"/>
    <row r="991" ht="14.5"/>
    <row r="992" ht="14.5"/>
    <row r="993" ht="14.5"/>
    <row r="994" ht="14.5"/>
    <row r="995" ht="14.5"/>
    <row r="996" ht="14.5"/>
    <row r="997" ht="14.5"/>
    <row r="998" ht="14.5"/>
    <row r="999" ht="14.5"/>
    <row r="1000" ht="14.5"/>
    <row r="1001" ht="14.5"/>
    <row r="1002" ht="14.5"/>
    <row r="1003" ht="14.5"/>
  </sheetData>
  <dataValidations count="2">
    <dataValidation type="list" allowBlank="1" showErrorMessage="1" sqref="B2 B4:B6 B7:B43" xr:uid="{00000000-0002-0000-0900-000000000000}">
      <formula1>"Bultangs,Futstem,Jotaslim,SPE Cinema,SPEoundFit,Volts,Minisoc,Hom Ping Pong"</formula1>
    </dataValidation>
    <dataValidation type="list" allowBlank="1" showErrorMessage="1" sqref="B3" xr:uid="{D89845CD-BA13-4141-82E8-ED20DC3A1B5F}">
      <formula1>"Bultangs,Futstem,Bowling,Jotaslim,SPE Cinema,SPEoundFit,Volts,Minisoc,Hom Ping Pong"</formula1>
    </dataValidation>
  </dataValidation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9C80-9CAD-411C-A7B5-4782842B4E64}">
  <dimension ref="C6:Q26"/>
  <sheetViews>
    <sheetView workbookViewId="0">
      <selection activeCell="C6" sqref="C6:D6"/>
    </sheetView>
  </sheetViews>
  <sheetFormatPr defaultRowHeight="12.5"/>
  <cols>
    <col min="3" max="3" width="27.7265625" customWidth="1"/>
    <col min="4" max="4" width="18.1796875" customWidth="1"/>
    <col min="15" max="15" width="53.7265625" customWidth="1"/>
    <col min="16" max="16" width="24.81640625" customWidth="1"/>
    <col min="17" max="17" width="17.81640625" customWidth="1"/>
  </cols>
  <sheetData>
    <row r="6" spans="3:4" ht="15.75" customHeight="1">
      <c r="C6" s="231" t="s">
        <v>724</v>
      </c>
      <c r="D6" s="231"/>
    </row>
    <row r="7" spans="3:4" ht="18.75" customHeight="1">
      <c r="C7" s="232" t="s">
        <v>725</v>
      </c>
      <c r="D7" s="232"/>
    </row>
    <row r="8" spans="3:4" ht="29.25" customHeight="1">
      <c r="C8" s="85" t="s">
        <v>726</v>
      </c>
      <c r="D8" s="82">
        <v>541700</v>
      </c>
    </row>
    <row r="9" spans="3:4" ht="29.25" customHeight="1">
      <c r="C9" s="85" t="s">
        <v>727</v>
      </c>
      <c r="D9" s="82">
        <v>527000</v>
      </c>
    </row>
    <row r="10" spans="3:4" ht="29.25" customHeight="1">
      <c r="C10" s="85" t="s">
        <v>728</v>
      </c>
      <c r="D10" s="82">
        <v>1071000</v>
      </c>
    </row>
    <row r="11" spans="3:4" ht="29.25" customHeight="1">
      <c r="C11" s="86" t="s">
        <v>729</v>
      </c>
      <c r="D11" s="83">
        <f>SUM(D8:D10)</f>
        <v>2139700</v>
      </c>
    </row>
    <row r="12" spans="3:4" ht="29.25" customHeight="1">
      <c r="C12" s="232" t="s">
        <v>730</v>
      </c>
      <c r="D12" s="232"/>
    </row>
    <row r="13" spans="3:4" ht="29.25" customHeight="1">
      <c r="C13" s="85" t="s">
        <v>731</v>
      </c>
      <c r="D13" s="82">
        <v>527000</v>
      </c>
    </row>
    <row r="14" spans="3:4" ht="29.25" customHeight="1">
      <c r="C14" s="85" t="s">
        <v>732</v>
      </c>
      <c r="D14" s="82">
        <v>686000</v>
      </c>
    </row>
    <row r="15" spans="3:4" ht="27" customHeight="1">
      <c r="C15" s="85" t="s">
        <v>733</v>
      </c>
      <c r="D15" s="82">
        <v>880000</v>
      </c>
    </row>
    <row r="16" spans="3:4" ht="27" customHeight="1">
      <c r="C16" s="86" t="s">
        <v>729</v>
      </c>
      <c r="D16" s="83">
        <f>SUM(D13:D15)</f>
        <v>2093000</v>
      </c>
    </row>
    <row r="17" spans="3:17" ht="27.75" customHeight="1">
      <c r="C17" s="84" t="s">
        <v>734</v>
      </c>
      <c r="D17" s="87">
        <f>SUM(D11,D16)</f>
        <v>4232700</v>
      </c>
    </row>
    <row r="21" spans="3:17" ht="14.5">
      <c r="N21" s="55" t="s">
        <v>602</v>
      </c>
      <c r="O21" s="55" t="s">
        <v>589</v>
      </c>
      <c r="P21" s="26" t="s">
        <v>586</v>
      </c>
      <c r="Q21" s="78">
        <v>541700</v>
      </c>
    </row>
    <row r="22" spans="3:17" ht="14.5">
      <c r="N22" s="55" t="s">
        <v>602</v>
      </c>
      <c r="O22" s="55" t="s">
        <v>603</v>
      </c>
      <c r="P22" s="26" t="s">
        <v>586</v>
      </c>
      <c r="Q22" s="78">
        <v>527000</v>
      </c>
    </row>
    <row r="23" spans="3:17" ht="14.5">
      <c r="N23" s="55" t="s">
        <v>602</v>
      </c>
      <c r="O23" s="10" t="s">
        <v>604</v>
      </c>
      <c r="P23" s="26" t="s">
        <v>605</v>
      </c>
      <c r="Q23" s="78">
        <v>535500</v>
      </c>
    </row>
    <row r="24" spans="3:17" ht="14.5">
      <c r="N24" s="55" t="s">
        <v>602</v>
      </c>
      <c r="O24" s="10" t="s">
        <v>606</v>
      </c>
      <c r="P24" s="26" t="s">
        <v>605</v>
      </c>
      <c r="Q24" s="78">
        <v>836000</v>
      </c>
    </row>
    <row r="25" spans="3:17" ht="14.5">
      <c r="N25" s="55" t="s">
        <v>602</v>
      </c>
      <c r="O25" s="10" t="s">
        <v>607</v>
      </c>
      <c r="P25" s="26" t="s">
        <v>605</v>
      </c>
      <c r="Q25" s="78">
        <v>535500</v>
      </c>
    </row>
    <row r="26" spans="3:17" ht="14.5">
      <c r="N26" s="55" t="s">
        <v>602</v>
      </c>
      <c r="O26" s="10" t="s">
        <v>608</v>
      </c>
      <c r="P26" s="26" t="s">
        <v>605</v>
      </c>
      <c r="Q26" s="78">
        <v>686000</v>
      </c>
    </row>
  </sheetData>
  <mergeCells count="3">
    <mergeCell ref="C6:D6"/>
    <mergeCell ref="C7:D7"/>
    <mergeCell ref="C12:D12"/>
  </mergeCells>
  <dataValidations count="1">
    <dataValidation type="list" allowBlank="1" showErrorMessage="1" sqref="P21:P26" xr:uid="{D5B838B9-5741-470E-A906-BE51B19E125E}">
      <formula1>"Grab Food,Go Food,Direct Order"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5864-5D35-4DDF-82B9-46C38FEA31CE}">
  <dimension ref="A1:H198"/>
  <sheetViews>
    <sheetView workbookViewId="0">
      <selection activeCell="D5" sqref="D5"/>
    </sheetView>
  </sheetViews>
  <sheetFormatPr defaultRowHeight="12.5"/>
  <cols>
    <col min="1" max="1" width="16.1796875" bestFit="1" customWidth="1"/>
    <col min="2" max="2" width="10.453125" bestFit="1" customWidth="1"/>
    <col min="3" max="3" width="14.6328125" bestFit="1" customWidth="1"/>
    <col min="4" max="4" width="33.1796875" bestFit="1" customWidth="1"/>
    <col min="5" max="5" width="89.54296875" bestFit="1" customWidth="1"/>
    <col min="6" max="6" width="14.36328125" bestFit="1" customWidth="1"/>
    <col min="7" max="7" width="26.26953125" bestFit="1" customWidth="1"/>
    <col min="8" max="8" width="36.26953125" bestFit="1" customWidth="1"/>
  </cols>
  <sheetData>
    <row r="1" spans="1:8" ht="13">
      <c r="A1" s="230" t="s">
        <v>735</v>
      </c>
      <c r="B1" s="230" t="s">
        <v>0</v>
      </c>
      <c r="C1" s="230" t="s">
        <v>1</v>
      </c>
      <c r="D1" s="230" t="s">
        <v>2</v>
      </c>
      <c r="E1" s="230" t="s">
        <v>3</v>
      </c>
      <c r="F1" s="230" t="s">
        <v>4</v>
      </c>
      <c r="G1" s="230" t="s">
        <v>5</v>
      </c>
      <c r="H1" s="230" t="s">
        <v>6</v>
      </c>
    </row>
    <row r="2" spans="1:8" ht="15.5">
      <c r="A2" s="229" t="s">
        <v>739</v>
      </c>
      <c r="B2" s="220">
        <v>45666</v>
      </c>
      <c r="C2" s="107">
        <v>45666</v>
      </c>
      <c r="D2" s="112" t="s">
        <v>7</v>
      </c>
      <c r="E2" s="113" t="s">
        <v>8</v>
      </c>
      <c r="F2" s="114">
        <v>19844000</v>
      </c>
      <c r="G2" s="108" t="s">
        <v>9</v>
      </c>
      <c r="H2" s="109" t="s">
        <v>10</v>
      </c>
    </row>
    <row r="3" spans="1:8" ht="15.5">
      <c r="A3" s="229" t="s">
        <v>739</v>
      </c>
      <c r="B3" s="220">
        <v>45698</v>
      </c>
      <c r="C3" s="107">
        <v>45698</v>
      </c>
      <c r="D3" s="112" t="s">
        <v>11</v>
      </c>
      <c r="E3" s="108" t="s">
        <v>12</v>
      </c>
      <c r="F3" s="114">
        <v>39676449</v>
      </c>
      <c r="G3" s="108" t="s">
        <v>13</v>
      </c>
      <c r="H3" s="109" t="s">
        <v>14</v>
      </c>
    </row>
    <row r="4" spans="1:8" ht="15.5">
      <c r="A4" s="229" t="s">
        <v>739</v>
      </c>
      <c r="B4" s="220">
        <v>45698</v>
      </c>
      <c r="C4" s="107">
        <v>45698</v>
      </c>
      <c r="D4" s="112" t="s">
        <v>15</v>
      </c>
      <c r="E4" s="108" t="s">
        <v>16</v>
      </c>
      <c r="F4" s="114">
        <v>22326000</v>
      </c>
      <c r="G4" s="108" t="s">
        <v>9</v>
      </c>
      <c r="H4" s="109" t="s">
        <v>10</v>
      </c>
    </row>
    <row r="5" spans="1:8" ht="15.5">
      <c r="A5" s="229" t="s">
        <v>739</v>
      </c>
      <c r="B5" s="220">
        <v>45726</v>
      </c>
      <c r="C5" s="107">
        <v>45726</v>
      </c>
      <c r="D5" s="109"/>
      <c r="E5" s="108" t="s">
        <v>17</v>
      </c>
      <c r="F5" s="114">
        <v>38723166</v>
      </c>
      <c r="G5" s="108" t="s">
        <v>9</v>
      </c>
      <c r="H5" s="109" t="s">
        <v>10</v>
      </c>
    </row>
    <row r="6" spans="1:8" ht="15.5">
      <c r="A6" s="229" t="s">
        <v>739</v>
      </c>
      <c r="B6" s="220">
        <v>45717</v>
      </c>
      <c r="C6" s="107">
        <v>45726</v>
      </c>
      <c r="D6" s="109"/>
      <c r="E6" s="108" t="s">
        <v>18</v>
      </c>
      <c r="F6" s="114">
        <v>21085000</v>
      </c>
      <c r="G6" s="108" t="s">
        <v>13</v>
      </c>
      <c r="H6" s="109" t="s">
        <v>14</v>
      </c>
    </row>
    <row r="7" spans="1:8" ht="15.5">
      <c r="A7" s="229" t="s">
        <v>739</v>
      </c>
      <c r="B7" s="220">
        <v>45772</v>
      </c>
      <c r="C7" s="107">
        <v>45772</v>
      </c>
      <c r="D7" s="109" t="s">
        <v>19</v>
      </c>
      <c r="E7" s="108" t="s">
        <v>20</v>
      </c>
      <c r="F7" s="110">
        <v>40111000</v>
      </c>
      <c r="G7" s="108" t="s">
        <v>9</v>
      </c>
      <c r="H7" s="109" t="s">
        <v>10</v>
      </c>
    </row>
    <row r="8" spans="1:8" ht="15.5">
      <c r="A8" s="229" t="s">
        <v>739</v>
      </c>
      <c r="B8" s="220">
        <v>45775</v>
      </c>
      <c r="C8" s="107">
        <v>45775</v>
      </c>
      <c r="D8" s="109" t="s">
        <v>19</v>
      </c>
      <c r="E8" s="108" t="s">
        <v>21</v>
      </c>
      <c r="F8" s="114">
        <v>21085000</v>
      </c>
      <c r="G8" s="108" t="s">
        <v>13</v>
      </c>
      <c r="H8" s="109" t="s">
        <v>14</v>
      </c>
    </row>
    <row r="9" spans="1:8" ht="14.5">
      <c r="A9" s="229" t="s">
        <v>736</v>
      </c>
      <c r="B9" s="181">
        <v>45659</v>
      </c>
      <c r="C9" s="182">
        <v>45659</v>
      </c>
      <c r="D9" s="175" t="s">
        <v>22</v>
      </c>
      <c r="E9" s="183" t="s">
        <v>23</v>
      </c>
      <c r="F9" s="195">
        <v>797000</v>
      </c>
      <c r="G9" s="184" t="s">
        <v>24</v>
      </c>
      <c r="H9" s="185" t="s">
        <v>25</v>
      </c>
    </row>
    <row r="10" spans="1:8" ht="14.5">
      <c r="A10" s="229" t="s">
        <v>736</v>
      </c>
      <c r="B10" s="181">
        <v>45666</v>
      </c>
      <c r="C10" s="182">
        <v>45666</v>
      </c>
      <c r="D10" s="175" t="s">
        <v>26</v>
      </c>
      <c r="E10" s="179" t="s">
        <v>27</v>
      </c>
      <c r="F10" s="195">
        <v>720000</v>
      </c>
      <c r="G10" s="184" t="s">
        <v>24</v>
      </c>
      <c r="H10" s="185" t="s">
        <v>25</v>
      </c>
    </row>
    <row r="11" spans="1:8" ht="14.5">
      <c r="A11" s="229" t="s">
        <v>736</v>
      </c>
      <c r="B11" s="181">
        <v>45666</v>
      </c>
      <c r="C11" s="182">
        <v>45666</v>
      </c>
      <c r="D11" s="175" t="s">
        <v>28</v>
      </c>
      <c r="E11" s="186" t="s">
        <v>29</v>
      </c>
      <c r="F11" s="193">
        <v>80000</v>
      </c>
      <c r="G11" s="184" t="s">
        <v>30</v>
      </c>
      <c r="H11" s="185" t="s">
        <v>31</v>
      </c>
    </row>
    <row r="12" spans="1:8" ht="14.5">
      <c r="A12" s="229" t="s">
        <v>736</v>
      </c>
      <c r="B12" s="181">
        <v>45664</v>
      </c>
      <c r="C12" s="182">
        <v>45664</v>
      </c>
      <c r="D12" s="175" t="s">
        <v>28</v>
      </c>
      <c r="E12" s="175" t="s">
        <v>32</v>
      </c>
      <c r="F12" s="193">
        <v>170520</v>
      </c>
      <c r="G12" s="184" t="s">
        <v>24</v>
      </c>
      <c r="H12" s="185" t="s">
        <v>25</v>
      </c>
    </row>
    <row r="13" spans="1:8" ht="14.5">
      <c r="A13" s="229" t="s">
        <v>736</v>
      </c>
      <c r="B13" s="181">
        <v>45664</v>
      </c>
      <c r="C13" s="182">
        <v>45664</v>
      </c>
      <c r="D13" s="175" t="s">
        <v>28</v>
      </c>
      <c r="E13" s="175" t="s">
        <v>33</v>
      </c>
      <c r="F13" s="193">
        <v>217500</v>
      </c>
      <c r="G13" s="184" t="s">
        <v>24</v>
      </c>
      <c r="H13" s="185" t="s">
        <v>25</v>
      </c>
    </row>
    <row r="14" spans="1:8" ht="14.5">
      <c r="A14" s="229" t="s">
        <v>736</v>
      </c>
      <c r="B14" s="181">
        <v>45664</v>
      </c>
      <c r="C14" s="182">
        <v>45664</v>
      </c>
      <c r="D14" s="175" t="s">
        <v>28</v>
      </c>
      <c r="E14" s="175" t="s">
        <v>34</v>
      </c>
      <c r="F14" s="196">
        <v>1225177</v>
      </c>
      <c r="G14" s="184" t="s">
        <v>24</v>
      </c>
      <c r="H14" s="185" t="s">
        <v>25</v>
      </c>
    </row>
    <row r="15" spans="1:8" ht="14.5">
      <c r="A15" s="229" t="s">
        <v>736</v>
      </c>
      <c r="B15" s="181">
        <v>45670</v>
      </c>
      <c r="C15" s="182">
        <v>45670</v>
      </c>
      <c r="D15" s="175" t="s">
        <v>35</v>
      </c>
      <c r="E15" s="179" t="s">
        <v>36</v>
      </c>
      <c r="F15" s="195">
        <v>997000</v>
      </c>
      <c r="G15" s="184" t="s">
        <v>24</v>
      </c>
      <c r="H15" s="185" t="s">
        <v>25</v>
      </c>
    </row>
    <row r="16" spans="1:8" ht="14.5">
      <c r="A16" s="229" t="s">
        <v>736</v>
      </c>
      <c r="B16" s="181">
        <v>45670</v>
      </c>
      <c r="C16" s="182">
        <v>45670</v>
      </c>
      <c r="D16" s="175" t="s">
        <v>37</v>
      </c>
      <c r="E16" s="179" t="s">
        <v>38</v>
      </c>
      <c r="F16" s="195">
        <v>300000</v>
      </c>
      <c r="G16" s="184" t="s">
        <v>24</v>
      </c>
      <c r="H16" s="185" t="s">
        <v>25</v>
      </c>
    </row>
    <row r="17" spans="1:8" ht="14.5">
      <c r="A17" s="229" t="s">
        <v>736</v>
      </c>
      <c r="B17" s="181">
        <v>45671</v>
      </c>
      <c r="C17" s="182">
        <v>45671</v>
      </c>
      <c r="D17" s="175" t="s">
        <v>39</v>
      </c>
      <c r="E17" s="175" t="s">
        <v>40</v>
      </c>
      <c r="F17" s="195">
        <v>4265000</v>
      </c>
      <c r="G17" s="184" t="s">
        <v>41</v>
      </c>
      <c r="H17" s="185" t="s">
        <v>25</v>
      </c>
    </row>
    <row r="18" spans="1:8" ht="14.5">
      <c r="A18" s="229" t="s">
        <v>736</v>
      </c>
      <c r="B18" s="181">
        <v>45677</v>
      </c>
      <c r="C18" s="137">
        <v>45677</v>
      </c>
      <c r="D18" s="178" t="s">
        <v>42</v>
      </c>
      <c r="E18" s="175" t="s">
        <v>43</v>
      </c>
      <c r="F18" s="195">
        <v>69000</v>
      </c>
      <c r="G18" s="179" t="s">
        <v>30</v>
      </c>
      <c r="H18" s="185" t="s">
        <v>31</v>
      </c>
    </row>
    <row r="19" spans="1:8" ht="14.5">
      <c r="A19" s="229" t="s">
        <v>736</v>
      </c>
      <c r="B19" s="181">
        <v>45678</v>
      </c>
      <c r="C19" s="182">
        <v>45678</v>
      </c>
      <c r="D19" s="178" t="s">
        <v>44</v>
      </c>
      <c r="E19" s="175" t="s">
        <v>45</v>
      </c>
      <c r="F19" s="195">
        <v>720000</v>
      </c>
      <c r="G19" s="179" t="s">
        <v>24</v>
      </c>
      <c r="H19" s="185" t="s">
        <v>25</v>
      </c>
    </row>
    <row r="20" spans="1:8" ht="14.5">
      <c r="A20" s="229" t="s">
        <v>736</v>
      </c>
      <c r="B20" s="181">
        <v>45678</v>
      </c>
      <c r="C20" s="182">
        <v>45678</v>
      </c>
      <c r="D20" s="175" t="s">
        <v>46</v>
      </c>
      <c r="E20" s="175" t="s">
        <v>47</v>
      </c>
      <c r="F20" s="195">
        <v>661180</v>
      </c>
      <c r="G20" s="179" t="s">
        <v>24</v>
      </c>
      <c r="H20" s="185" t="s">
        <v>25</v>
      </c>
    </row>
    <row r="21" spans="1:8" ht="14.5">
      <c r="A21" s="229" t="s">
        <v>736</v>
      </c>
      <c r="B21" s="181">
        <v>45680</v>
      </c>
      <c r="C21" s="182">
        <v>45680</v>
      </c>
      <c r="D21" s="187" t="s">
        <v>48</v>
      </c>
      <c r="E21" s="187" t="s">
        <v>49</v>
      </c>
      <c r="F21" s="195">
        <v>1613940</v>
      </c>
      <c r="G21" s="179" t="s">
        <v>24</v>
      </c>
      <c r="H21" s="185" t="s">
        <v>25</v>
      </c>
    </row>
    <row r="22" spans="1:8" ht="14.5">
      <c r="A22" s="229" t="s">
        <v>736</v>
      </c>
      <c r="B22" s="181">
        <v>45680</v>
      </c>
      <c r="C22" s="182">
        <v>45680</v>
      </c>
      <c r="D22" s="187" t="s">
        <v>50</v>
      </c>
      <c r="E22" s="187" t="s">
        <v>51</v>
      </c>
      <c r="F22" s="195">
        <v>4830720</v>
      </c>
      <c r="G22" s="179" t="s">
        <v>24</v>
      </c>
      <c r="H22" s="185" t="s">
        <v>25</v>
      </c>
    </row>
    <row r="23" spans="1:8" ht="14.5">
      <c r="A23" s="229" t="s">
        <v>736</v>
      </c>
      <c r="B23" s="181">
        <v>45680</v>
      </c>
      <c r="C23" s="182">
        <v>45680</v>
      </c>
      <c r="D23" s="187" t="s">
        <v>52</v>
      </c>
      <c r="E23" s="187" t="s">
        <v>53</v>
      </c>
      <c r="F23" s="195">
        <v>2177802</v>
      </c>
      <c r="G23" s="179" t="s">
        <v>24</v>
      </c>
      <c r="H23" s="185" t="s">
        <v>25</v>
      </c>
    </row>
    <row r="24" spans="1:8" ht="14.5">
      <c r="A24" s="229" t="s">
        <v>736</v>
      </c>
      <c r="B24" s="181">
        <v>45680</v>
      </c>
      <c r="C24" s="182">
        <v>45680</v>
      </c>
      <c r="D24" s="187" t="s">
        <v>54</v>
      </c>
      <c r="E24" s="187" t="s">
        <v>55</v>
      </c>
      <c r="F24" s="195">
        <v>288000</v>
      </c>
      <c r="G24" s="179" t="s">
        <v>24</v>
      </c>
      <c r="H24" s="185" t="s">
        <v>25</v>
      </c>
    </row>
    <row r="25" spans="1:8" ht="14.5">
      <c r="A25" s="229" t="s">
        <v>736</v>
      </c>
      <c r="B25" s="181">
        <v>45687</v>
      </c>
      <c r="C25" s="182">
        <v>45687</v>
      </c>
      <c r="D25" s="187" t="s">
        <v>56</v>
      </c>
      <c r="E25" s="187" t="s">
        <v>57</v>
      </c>
      <c r="F25" s="195">
        <v>877000</v>
      </c>
      <c r="G25" s="179" t="s">
        <v>24</v>
      </c>
      <c r="H25" s="185" t="s">
        <v>25</v>
      </c>
    </row>
    <row r="26" spans="1:8" ht="14.5">
      <c r="A26" s="229" t="s">
        <v>736</v>
      </c>
      <c r="B26" s="181">
        <v>45691</v>
      </c>
      <c r="C26" s="182">
        <v>45691</v>
      </c>
      <c r="D26" s="175" t="s">
        <v>58</v>
      </c>
      <c r="E26" s="188" t="s">
        <v>59</v>
      </c>
      <c r="F26" s="197">
        <v>10000</v>
      </c>
      <c r="G26" s="179" t="s">
        <v>30</v>
      </c>
      <c r="H26" s="185" t="s">
        <v>31</v>
      </c>
    </row>
    <row r="27" spans="1:8" ht="14.5">
      <c r="A27" s="229" t="s">
        <v>736</v>
      </c>
      <c r="B27" s="181">
        <v>45693</v>
      </c>
      <c r="C27" s="182">
        <v>45693</v>
      </c>
      <c r="D27" s="175" t="s">
        <v>60</v>
      </c>
      <c r="E27" s="175" t="s">
        <v>61</v>
      </c>
      <c r="F27" s="195">
        <v>4044002</v>
      </c>
      <c r="G27" s="179" t="s">
        <v>30</v>
      </c>
      <c r="H27" s="185" t="s">
        <v>31</v>
      </c>
    </row>
    <row r="28" spans="1:8" ht="14.5">
      <c r="A28" s="229" t="s">
        <v>736</v>
      </c>
      <c r="B28" s="181">
        <v>45693</v>
      </c>
      <c r="C28" s="182">
        <v>45693</v>
      </c>
      <c r="D28" s="175" t="s">
        <v>62</v>
      </c>
      <c r="E28" s="175" t="s">
        <v>63</v>
      </c>
      <c r="F28" s="195">
        <f>63000*2</f>
        <v>126000</v>
      </c>
      <c r="G28" s="179" t="s">
        <v>24</v>
      </c>
      <c r="H28" s="185" t="s">
        <v>25</v>
      </c>
    </row>
    <row r="29" spans="1:8" ht="14.5">
      <c r="A29" s="229" t="s">
        <v>736</v>
      </c>
      <c r="B29" s="181">
        <v>45693</v>
      </c>
      <c r="C29" s="182">
        <v>45693</v>
      </c>
      <c r="D29" s="175" t="s">
        <v>62</v>
      </c>
      <c r="E29" s="175" t="s">
        <v>64</v>
      </c>
      <c r="F29" s="195">
        <v>46000</v>
      </c>
      <c r="G29" s="179" t="s">
        <v>24</v>
      </c>
      <c r="H29" s="185" t="s">
        <v>25</v>
      </c>
    </row>
    <row r="30" spans="1:8" ht="14.5">
      <c r="A30" s="229" t="s">
        <v>736</v>
      </c>
      <c r="B30" s="181">
        <v>45693</v>
      </c>
      <c r="C30" s="182">
        <v>45693</v>
      </c>
      <c r="D30" s="175" t="s">
        <v>62</v>
      </c>
      <c r="E30" s="175" t="s">
        <v>65</v>
      </c>
      <c r="F30" s="195">
        <f>10000+22500+22500</f>
        <v>55000</v>
      </c>
      <c r="G30" s="179" t="s">
        <v>30</v>
      </c>
      <c r="H30" s="185" t="s">
        <v>31</v>
      </c>
    </row>
    <row r="31" spans="1:8" ht="14.5">
      <c r="A31" s="229" t="s">
        <v>736</v>
      </c>
      <c r="B31" s="181">
        <v>45694</v>
      </c>
      <c r="C31" s="182">
        <v>45694</v>
      </c>
      <c r="D31" s="175" t="s">
        <v>66</v>
      </c>
      <c r="E31" s="187" t="s">
        <v>67</v>
      </c>
      <c r="F31" s="195">
        <v>230041</v>
      </c>
      <c r="G31" s="179" t="s">
        <v>30</v>
      </c>
      <c r="H31" s="185" t="s">
        <v>31</v>
      </c>
    </row>
    <row r="32" spans="1:8" ht="14.5">
      <c r="A32" s="229" t="s">
        <v>736</v>
      </c>
      <c r="B32" s="181">
        <v>45694</v>
      </c>
      <c r="C32" s="182">
        <v>45694</v>
      </c>
      <c r="D32" s="175" t="s">
        <v>66</v>
      </c>
      <c r="E32" s="187" t="s">
        <v>68</v>
      </c>
      <c r="F32" s="195">
        <v>16030</v>
      </c>
      <c r="G32" s="179" t="s">
        <v>24</v>
      </c>
      <c r="H32" s="185" t="s">
        <v>25</v>
      </c>
    </row>
    <row r="33" spans="1:8" ht="14.5">
      <c r="A33" s="229" t="s">
        <v>736</v>
      </c>
      <c r="B33" s="181">
        <v>45694</v>
      </c>
      <c r="C33" s="182">
        <v>45694</v>
      </c>
      <c r="D33" s="175" t="s">
        <v>69</v>
      </c>
      <c r="E33" s="175" t="s">
        <v>70</v>
      </c>
      <c r="F33" s="195">
        <v>520000</v>
      </c>
      <c r="G33" s="179" t="s">
        <v>24</v>
      </c>
      <c r="H33" s="185" t="s">
        <v>25</v>
      </c>
    </row>
    <row r="34" spans="1:8" ht="14.5">
      <c r="A34" s="229" t="s">
        <v>736</v>
      </c>
      <c r="B34" s="181">
        <v>45701</v>
      </c>
      <c r="C34" s="182">
        <v>45701</v>
      </c>
      <c r="D34" s="175"/>
      <c r="E34" s="175" t="s">
        <v>71</v>
      </c>
      <c r="F34" s="195">
        <v>877000</v>
      </c>
      <c r="G34" s="179" t="s">
        <v>24</v>
      </c>
      <c r="H34" s="185" t="s">
        <v>25</v>
      </c>
    </row>
    <row r="35" spans="1:8" ht="14.5">
      <c r="A35" s="229" t="s">
        <v>736</v>
      </c>
      <c r="B35" s="181">
        <v>45701</v>
      </c>
      <c r="C35" s="182">
        <v>45701</v>
      </c>
      <c r="D35" s="175"/>
      <c r="E35" s="175" t="s">
        <v>72</v>
      </c>
      <c r="F35" s="195">
        <v>5106000</v>
      </c>
      <c r="G35" s="179" t="s">
        <v>41</v>
      </c>
      <c r="H35" s="185" t="s">
        <v>25</v>
      </c>
    </row>
    <row r="36" spans="1:8" ht="14.5">
      <c r="A36" s="229" t="s">
        <v>736</v>
      </c>
      <c r="B36" s="181">
        <v>45701</v>
      </c>
      <c r="C36" s="182">
        <v>45701</v>
      </c>
      <c r="D36" s="175"/>
      <c r="E36" s="175" t="s">
        <v>73</v>
      </c>
      <c r="F36" s="195">
        <v>1045620</v>
      </c>
      <c r="G36" s="179" t="s">
        <v>41</v>
      </c>
      <c r="H36" s="185" t="s">
        <v>25</v>
      </c>
    </row>
    <row r="37" spans="1:8" ht="14.5">
      <c r="A37" s="229" t="s">
        <v>736</v>
      </c>
      <c r="B37" s="181">
        <v>45706</v>
      </c>
      <c r="C37" s="182">
        <v>45706</v>
      </c>
      <c r="D37" s="175"/>
      <c r="E37" s="175" t="s">
        <v>74</v>
      </c>
      <c r="F37" s="195">
        <v>210000</v>
      </c>
      <c r="G37" s="179" t="s">
        <v>24</v>
      </c>
      <c r="H37" s="185" t="s">
        <v>31</v>
      </c>
    </row>
    <row r="38" spans="1:8" ht="14.5">
      <c r="A38" s="229" t="s">
        <v>736</v>
      </c>
      <c r="B38" s="181">
        <v>45706</v>
      </c>
      <c r="C38" s="182">
        <v>45706</v>
      </c>
      <c r="D38" s="175" t="s">
        <v>75</v>
      </c>
      <c r="E38" s="175" t="s">
        <v>76</v>
      </c>
      <c r="F38" s="195">
        <v>7000</v>
      </c>
      <c r="G38" s="179" t="s">
        <v>30</v>
      </c>
      <c r="H38" s="185" t="s">
        <v>31</v>
      </c>
    </row>
    <row r="39" spans="1:8" ht="14.5">
      <c r="A39" s="229" t="s">
        <v>736</v>
      </c>
      <c r="B39" s="181">
        <v>45706</v>
      </c>
      <c r="C39" s="182">
        <v>45706</v>
      </c>
      <c r="D39" s="175"/>
      <c r="E39" s="175" t="s">
        <v>77</v>
      </c>
      <c r="F39" s="195">
        <v>198000</v>
      </c>
      <c r="G39" s="179" t="s">
        <v>24</v>
      </c>
      <c r="H39" s="185" t="s">
        <v>31</v>
      </c>
    </row>
    <row r="40" spans="1:8" ht="14.5">
      <c r="A40" s="229" t="s">
        <v>736</v>
      </c>
      <c r="B40" s="181">
        <v>45709</v>
      </c>
      <c r="C40" s="182">
        <v>45709</v>
      </c>
      <c r="D40" s="175"/>
      <c r="E40" s="175" t="s">
        <v>78</v>
      </c>
      <c r="F40" s="195">
        <v>1143300</v>
      </c>
      <c r="G40" s="179" t="s">
        <v>41</v>
      </c>
      <c r="H40" s="185" t="s">
        <v>31</v>
      </c>
    </row>
    <row r="41" spans="1:8" ht="14.5">
      <c r="A41" s="229" t="s">
        <v>736</v>
      </c>
      <c r="B41" s="181">
        <v>45709</v>
      </c>
      <c r="C41" s="182">
        <v>45709</v>
      </c>
      <c r="D41" s="175"/>
      <c r="E41" s="175" t="s">
        <v>79</v>
      </c>
      <c r="F41" s="195">
        <v>2177802</v>
      </c>
      <c r="G41" s="179" t="s">
        <v>24</v>
      </c>
      <c r="H41" s="185" t="s">
        <v>25</v>
      </c>
    </row>
    <row r="42" spans="1:8" ht="14.5">
      <c r="A42" s="229" t="s">
        <v>736</v>
      </c>
      <c r="B42" s="181">
        <v>45712</v>
      </c>
      <c r="C42" s="182">
        <v>45712</v>
      </c>
      <c r="D42" s="175" t="s">
        <v>80</v>
      </c>
      <c r="E42" s="179" t="s">
        <v>81</v>
      </c>
      <c r="F42" s="195">
        <v>2000000</v>
      </c>
      <c r="G42" s="179" t="s">
        <v>30</v>
      </c>
      <c r="H42" s="185" t="s">
        <v>31</v>
      </c>
    </row>
    <row r="43" spans="1:8" ht="14.5">
      <c r="A43" s="229" t="s">
        <v>736</v>
      </c>
      <c r="B43" s="181">
        <v>45713</v>
      </c>
      <c r="C43" s="182">
        <v>45713</v>
      </c>
      <c r="D43" s="175" t="s">
        <v>82</v>
      </c>
      <c r="E43" s="189" t="s">
        <v>83</v>
      </c>
      <c r="F43" s="195">
        <v>22500</v>
      </c>
      <c r="G43" s="184" t="s">
        <v>30</v>
      </c>
      <c r="H43" s="185" t="s">
        <v>31</v>
      </c>
    </row>
    <row r="44" spans="1:8" ht="14.5">
      <c r="A44" s="229" t="s">
        <v>736</v>
      </c>
      <c r="B44" s="181">
        <v>45713</v>
      </c>
      <c r="C44" s="182">
        <v>45713</v>
      </c>
      <c r="D44" s="175"/>
      <c r="E44" s="179" t="s">
        <v>84</v>
      </c>
      <c r="F44" s="195">
        <v>26000</v>
      </c>
      <c r="G44" s="184" t="s">
        <v>41</v>
      </c>
      <c r="H44" s="185" t="s">
        <v>25</v>
      </c>
    </row>
    <row r="45" spans="1:8" ht="14.5">
      <c r="A45" s="229" t="s">
        <v>736</v>
      </c>
      <c r="B45" s="181">
        <v>45713</v>
      </c>
      <c r="C45" s="182">
        <v>45713</v>
      </c>
      <c r="D45" s="175" t="s">
        <v>82</v>
      </c>
      <c r="E45" s="179" t="s">
        <v>83</v>
      </c>
      <c r="F45" s="195">
        <v>156840</v>
      </c>
      <c r="G45" s="184" t="s">
        <v>30</v>
      </c>
      <c r="H45" s="185" t="s">
        <v>31</v>
      </c>
    </row>
    <row r="46" spans="1:8" ht="14.5">
      <c r="A46" s="229" t="s">
        <v>736</v>
      </c>
      <c r="B46" s="181">
        <v>45713</v>
      </c>
      <c r="C46" s="182">
        <v>45713</v>
      </c>
      <c r="D46" s="175" t="s">
        <v>82</v>
      </c>
      <c r="E46" s="189" t="s">
        <v>85</v>
      </c>
      <c r="F46" s="195">
        <v>22000</v>
      </c>
      <c r="G46" s="184" t="s">
        <v>30</v>
      </c>
      <c r="H46" s="185" t="s">
        <v>31</v>
      </c>
    </row>
    <row r="47" spans="1:8" ht="14.5">
      <c r="A47" s="229" t="s">
        <v>736</v>
      </c>
      <c r="B47" s="181">
        <v>45716</v>
      </c>
      <c r="C47" s="182">
        <v>45716</v>
      </c>
      <c r="D47" s="175"/>
      <c r="E47" s="175" t="s">
        <v>86</v>
      </c>
      <c r="F47" s="195">
        <v>577000</v>
      </c>
      <c r="G47" s="179" t="s">
        <v>24</v>
      </c>
      <c r="H47" s="185" t="s">
        <v>25</v>
      </c>
    </row>
    <row r="48" spans="1:8" ht="14.5">
      <c r="A48" s="229" t="s">
        <v>736</v>
      </c>
      <c r="B48" s="181">
        <v>45722</v>
      </c>
      <c r="C48" s="182">
        <v>45722</v>
      </c>
      <c r="D48" s="175"/>
      <c r="E48" s="175" t="s">
        <v>87</v>
      </c>
      <c r="F48" s="195">
        <v>937000</v>
      </c>
      <c r="G48" s="179" t="s">
        <v>24</v>
      </c>
      <c r="H48" s="185" t="s">
        <v>25</v>
      </c>
    </row>
    <row r="49" spans="1:8" ht="29">
      <c r="A49" s="229" t="s">
        <v>736</v>
      </c>
      <c r="B49" s="181">
        <v>45722</v>
      </c>
      <c r="C49" s="182">
        <v>45722</v>
      </c>
      <c r="D49" s="175" t="s">
        <v>88</v>
      </c>
      <c r="E49" s="178" t="s">
        <v>89</v>
      </c>
      <c r="F49" s="180">
        <v>9325665</v>
      </c>
      <c r="G49" s="184" t="s">
        <v>30</v>
      </c>
      <c r="H49" s="185" t="s">
        <v>31</v>
      </c>
    </row>
    <row r="50" spans="1:8" ht="14.5">
      <c r="A50" s="229" t="s">
        <v>736</v>
      </c>
      <c r="B50" s="181">
        <v>45722</v>
      </c>
      <c r="C50" s="182">
        <v>45722</v>
      </c>
      <c r="D50" s="175" t="s">
        <v>90</v>
      </c>
      <c r="E50" s="175" t="s">
        <v>91</v>
      </c>
      <c r="F50" s="195">
        <v>10000</v>
      </c>
      <c r="G50" s="179" t="s">
        <v>30</v>
      </c>
      <c r="H50" s="185" t="s">
        <v>31</v>
      </c>
    </row>
    <row r="51" spans="1:8" ht="14.5">
      <c r="A51" s="229" t="s">
        <v>736</v>
      </c>
      <c r="B51" s="181">
        <v>45726</v>
      </c>
      <c r="C51" s="182">
        <v>45726</v>
      </c>
      <c r="D51" s="175"/>
      <c r="E51" s="178" t="s">
        <v>92</v>
      </c>
      <c r="F51" s="198">
        <v>84000</v>
      </c>
      <c r="G51" s="184" t="s">
        <v>24</v>
      </c>
      <c r="H51" s="185" t="s">
        <v>25</v>
      </c>
    </row>
    <row r="52" spans="1:8" ht="14.5">
      <c r="A52" s="229" t="s">
        <v>736</v>
      </c>
      <c r="B52" s="181">
        <v>45726</v>
      </c>
      <c r="C52" s="182">
        <v>45726</v>
      </c>
      <c r="D52" s="175"/>
      <c r="E52" s="178" t="s">
        <v>93</v>
      </c>
      <c r="F52" s="198">
        <v>27000</v>
      </c>
      <c r="G52" s="184" t="s">
        <v>24</v>
      </c>
      <c r="H52" s="185" t="s">
        <v>25</v>
      </c>
    </row>
    <row r="53" spans="1:8" ht="14.5">
      <c r="A53" s="229" t="s">
        <v>736</v>
      </c>
      <c r="B53" s="181">
        <v>45726</v>
      </c>
      <c r="C53" s="182">
        <v>45726</v>
      </c>
      <c r="D53" s="175" t="s">
        <v>94</v>
      </c>
      <c r="E53" s="178" t="s">
        <v>95</v>
      </c>
      <c r="F53" s="198">
        <v>57500</v>
      </c>
      <c r="G53" s="179" t="s">
        <v>30</v>
      </c>
      <c r="H53" s="185" t="s">
        <v>31</v>
      </c>
    </row>
    <row r="54" spans="1:8" ht="14.5">
      <c r="A54" s="229" t="s">
        <v>736</v>
      </c>
      <c r="B54" s="181">
        <v>45726</v>
      </c>
      <c r="C54" s="182">
        <v>45726</v>
      </c>
      <c r="D54" s="175"/>
      <c r="E54" s="178" t="s">
        <v>96</v>
      </c>
      <c r="F54" s="198">
        <v>35880</v>
      </c>
      <c r="G54" s="184" t="s">
        <v>24</v>
      </c>
      <c r="H54" s="185" t="s">
        <v>25</v>
      </c>
    </row>
    <row r="55" spans="1:8" ht="14.5">
      <c r="A55" s="229" t="s">
        <v>736</v>
      </c>
      <c r="B55" s="181">
        <v>45726</v>
      </c>
      <c r="C55" s="182">
        <v>45726</v>
      </c>
      <c r="D55" s="175"/>
      <c r="E55" s="178" t="s">
        <v>97</v>
      </c>
      <c r="F55" s="198">
        <v>27700</v>
      </c>
      <c r="G55" s="184" t="s">
        <v>24</v>
      </c>
      <c r="H55" s="185" t="s">
        <v>25</v>
      </c>
    </row>
    <row r="56" spans="1:8" ht="14.5">
      <c r="A56" s="229" t="s">
        <v>736</v>
      </c>
      <c r="B56" s="181">
        <v>45726</v>
      </c>
      <c r="C56" s="182">
        <v>45726</v>
      </c>
      <c r="D56" s="175"/>
      <c r="E56" s="178" t="s">
        <v>98</v>
      </c>
      <c r="F56" s="198">
        <v>66900</v>
      </c>
      <c r="G56" s="184" t="s">
        <v>24</v>
      </c>
      <c r="H56" s="185" t="s">
        <v>25</v>
      </c>
    </row>
    <row r="57" spans="1:8" ht="14.5">
      <c r="A57" s="229" t="s">
        <v>736</v>
      </c>
      <c r="B57" s="181">
        <v>45726</v>
      </c>
      <c r="C57" s="182">
        <v>45726</v>
      </c>
      <c r="D57" s="175"/>
      <c r="E57" s="178" t="s">
        <v>92</v>
      </c>
      <c r="F57" s="198">
        <v>76000</v>
      </c>
      <c r="G57" s="184" t="s">
        <v>24</v>
      </c>
      <c r="H57" s="185" t="s">
        <v>25</v>
      </c>
    </row>
    <row r="58" spans="1:8" ht="14.5">
      <c r="A58" s="229" t="s">
        <v>736</v>
      </c>
      <c r="B58" s="181">
        <v>45726</v>
      </c>
      <c r="C58" s="182">
        <v>45726</v>
      </c>
      <c r="D58" s="175"/>
      <c r="E58" s="178" t="s">
        <v>99</v>
      </c>
      <c r="F58" s="198">
        <v>39400</v>
      </c>
      <c r="G58" s="184" t="s">
        <v>24</v>
      </c>
      <c r="H58" s="185" t="s">
        <v>25</v>
      </c>
    </row>
    <row r="59" spans="1:8" ht="14.5">
      <c r="A59" s="229" t="s">
        <v>736</v>
      </c>
      <c r="B59" s="181">
        <v>45726</v>
      </c>
      <c r="C59" s="182">
        <v>45726</v>
      </c>
      <c r="D59" s="175" t="s">
        <v>94</v>
      </c>
      <c r="E59" s="178" t="s">
        <v>100</v>
      </c>
      <c r="F59" s="198">
        <v>25000</v>
      </c>
      <c r="G59" s="179" t="s">
        <v>30</v>
      </c>
      <c r="H59" s="185" t="s">
        <v>31</v>
      </c>
    </row>
    <row r="60" spans="1:8" ht="14.5">
      <c r="A60" s="229" t="s">
        <v>736</v>
      </c>
      <c r="B60" s="181">
        <v>45726</v>
      </c>
      <c r="C60" s="182">
        <v>45726</v>
      </c>
      <c r="D60" s="175"/>
      <c r="E60" s="178" t="s">
        <v>101</v>
      </c>
      <c r="F60" s="198">
        <v>15000</v>
      </c>
      <c r="G60" s="184" t="s">
        <v>24</v>
      </c>
      <c r="H60" s="185" t="s">
        <v>25</v>
      </c>
    </row>
    <row r="61" spans="1:8" ht="14.5">
      <c r="A61" s="229" t="s">
        <v>736</v>
      </c>
      <c r="B61" s="181">
        <v>45726</v>
      </c>
      <c r="C61" s="182">
        <v>45726</v>
      </c>
      <c r="D61" s="175"/>
      <c r="E61" s="178" t="s">
        <v>102</v>
      </c>
      <c r="F61" s="198">
        <v>188480</v>
      </c>
      <c r="G61" s="184" t="s">
        <v>41</v>
      </c>
      <c r="H61" s="185" t="s">
        <v>25</v>
      </c>
    </row>
    <row r="62" spans="1:8" ht="14.5">
      <c r="A62" s="229" t="s">
        <v>736</v>
      </c>
      <c r="B62" s="181">
        <v>45726</v>
      </c>
      <c r="C62" s="182">
        <v>45726</v>
      </c>
      <c r="D62" s="175" t="s">
        <v>94</v>
      </c>
      <c r="E62" s="175" t="s">
        <v>103</v>
      </c>
      <c r="F62" s="198">
        <v>57500</v>
      </c>
      <c r="G62" s="179" t="s">
        <v>30</v>
      </c>
      <c r="H62" s="185" t="s">
        <v>31</v>
      </c>
    </row>
    <row r="63" spans="1:8" ht="14.5">
      <c r="A63" s="229" t="s">
        <v>736</v>
      </c>
      <c r="B63" s="181">
        <v>45726</v>
      </c>
      <c r="C63" s="182">
        <v>45726</v>
      </c>
      <c r="D63" s="175"/>
      <c r="E63" s="175" t="s">
        <v>104</v>
      </c>
      <c r="F63" s="198">
        <v>29442</v>
      </c>
      <c r="G63" s="184" t="s">
        <v>105</v>
      </c>
      <c r="H63" s="185" t="s">
        <v>25</v>
      </c>
    </row>
    <row r="64" spans="1:8" ht="14.5">
      <c r="A64" s="229" t="s">
        <v>736</v>
      </c>
      <c r="B64" s="181">
        <v>45726</v>
      </c>
      <c r="C64" s="182">
        <v>45726</v>
      </c>
      <c r="D64" s="175" t="s">
        <v>94</v>
      </c>
      <c r="E64" s="175" t="s">
        <v>106</v>
      </c>
      <c r="F64" s="198">
        <v>12000</v>
      </c>
      <c r="G64" s="179" t="s">
        <v>30</v>
      </c>
      <c r="H64" s="185" t="s">
        <v>31</v>
      </c>
    </row>
    <row r="65" spans="1:8" ht="14.5">
      <c r="A65" s="229" t="s">
        <v>736</v>
      </c>
      <c r="B65" s="181">
        <v>45726</v>
      </c>
      <c r="C65" s="182">
        <v>45726</v>
      </c>
      <c r="D65" s="175" t="s">
        <v>94</v>
      </c>
      <c r="E65" s="190" t="s">
        <v>107</v>
      </c>
      <c r="F65" s="198">
        <v>384640</v>
      </c>
      <c r="G65" s="179" t="s">
        <v>30</v>
      </c>
      <c r="H65" s="185" t="s">
        <v>31</v>
      </c>
    </row>
    <row r="66" spans="1:8" ht="14.5">
      <c r="A66" s="229" t="s">
        <v>736</v>
      </c>
      <c r="B66" s="181">
        <v>45729</v>
      </c>
      <c r="C66" s="182">
        <v>45729</v>
      </c>
      <c r="D66" s="175" t="s">
        <v>108</v>
      </c>
      <c r="E66" s="175" t="s">
        <v>109</v>
      </c>
      <c r="F66" s="195">
        <v>2775000</v>
      </c>
      <c r="G66" s="179" t="s">
        <v>30</v>
      </c>
      <c r="H66" s="185" t="s">
        <v>31</v>
      </c>
    </row>
    <row r="67" spans="1:8" ht="14.5">
      <c r="A67" s="229" t="s">
        <v>736</v>
      </c>
      <c r="B67" s="181">
        <v>45734</v>
      </c>
      <c r="C67" s="182">
        <v>45734</v>
      </c>
      <c r="D67" s="175" t="s">
        <v>110</v>
      </c>
      <c r="E67" s="175" t="s">
        <v>111</v>
      </c>
      <c r="F67" s="195">
        <v>329670</v>
      </c>
      <c r="G67" s="179" t="s">
        <v>30</v>
      </c>
      <c r="H67" s="185" t="s">
        <v>31</v>
      </c>
    </row>
    <row r="68" spans="1:8" ht="29">
      <c r="A68" s="229" t="s">
        <v>736</v>
      </c>
      <c r="B68" s="181">
        <v>45734</v>
      </c>
      <c r="C68" s="182">
        <v>45734</v>
      </c>
      <c r="D68" s="175" t="s">
        <v>112</v>
      </c>
      <c r="E68" s="178" t="s">
        <v>113</v>
      </c>
      <c r="F68" s="180">
        <v>4937835</v>
      </c>
      <c r="G68" s="179" t="s">
        <v>30</v>
      </c>
      <c r="H68" s="185" t="s">
        <v>31</v>
      </c>
    </row>
    <row r="69" spans="1:8" ht="14.5">
      <c r="A69" s="229" t="s">
        <v>736</v>
      </c>
      <c r="B69" s="181">
        <v>45736</v>
      </c>
      <c r="C69" s="182">
        <v>45736</v>
      </c>
      <c r="D69" s="175"/>
      <c r="E69" s="175" t="s">
        <v>114</v>
      </c>
      <c r="F69" s="195">
        <v>1031000</v>
      </c>
      <c r="G69" s="179" t="s">
        <v>24</v>
      </c>
      <c r="H69" s="185" t="s">
        <v>25</v>
      </c>
    </row>
    <row r="70" spans="1:8" ht="14.5">
      <c r="A70" s="229" t="s">
        <v>736</v>
      </c>
      <c r="B70" s="181">
        <v>45737</v>
      </c>
      <c r="C70" s="182">
        <v>45737</v>
      </c>
      <c r="D70" s="175" t="s">
        <v>115</v>
      </c>
      <c r="E70" s="175" t="s">
        <v>116</v>
      </c>
      <c r="F70" s="195">
        <v>2713950</v>
      </c>
      <c r="G70" s="179" t="s">
        <v>30</v>
      </c>
      <c r="H70" s="185" t="s">
        <v>31</v>
      </c>
    </row>
    <row r="71" spans="1:8" ht="14.5">
      <c r="A71" s="229" t="s">
        <v>736</v>
      </c>
      <c r="B71" s="181">
        <v>45742</v>
      </c>
      <c r="C71" s="182">
        <v>45742</v>
      </c>
      <c r="D71" s="175"/>
      <c r="E71" s="175" t="s">
        <v>117</v>
      </c>
      <c r="F71" s="195">
        <v>2177802</v>
      </c>
      <c r="G71" s="179" t="s">
        <v>24</v>
      </c>
      <c r="H71" s="185" t="s">
        <v>25</v>
      </c>
    </row>
    <row r="72" spans="1:8" ht="14.5">
      <c r="A72" s="229" t="s">
        <v>736</v>
      </c>
      <c r="B72" s="181">
        <v>45743</v>
      </c>
      <c r="C72" s="182">
        <v>45743</v>
      </c>
      <c r="D72" s="175" t="s">
        <v>118</v>
      </c>
      <c r="E72" s="175" t="s">
        <v>119</v>
      </c>
      <c r="F72" s="195">
        <v>10000</v>
      </c>
      <c r="G72" s="179" t="s">
        <v>30</v>
      </c>
      <c r="H72" s="185" t="s">
        <v>31</v>
      </c>
    </row>
    <row r="73" spans="1:8" ht="14.5">
      <c r="A73" s="229" t="s">
        <v>736</v>
      </c>
      <c r="B73" s="181">
        <v>45743</v>
      </c>
      <c r="C73" s="182">
        <v>45743</v>
      </c>
      <c r="D73" s="175" t="s">
        <v>120</v>
      </c>
      <c r="E73" s="175" t="s">
        <v>121</v>
      </c>
      <c r="F73" s="195">
        <v>105000</v>
      </c>
      <c r="G73" s="179" t="s">
        <v>30</v>
      </c>
      <c r="H73" s="185" t="s">
        <v>31</v>
      </c>
    </row>
    <row r="74" spans="1:8" ht="14.5">
      <c r="A74" s="229" t="s">
        <v>736</v>
      </c>
      <c r="B74" s="181">
        <v>45743</v>
      </c>
      <c r="C74" s="182">
        <v>45743</v>
      </c>
      <c r="D74" s="175"/>
      <c r="E74" s="175" t="s">
        <v>122</v>
      </c>
      <c r="F74" s="195">
        <v>16000</v>
      </c>
      <c r="G74" s="179" t="s">
        <v>41</v>
      </c>
      <c r="H74" s="185" t="s">
        <v>25</v>
      </c>
    </row>
    <row r="75" spans="1:8" ht="14.5">
      <c r="A75" s="229" t="s">
        <v>736</v>
      </c>
      <c r="B75" s="181">
        <v>45743</v>
      </c>
      <c r="C75" s="182">
        <v>45743</v>
      </c>
      <c r="D75" s="175" t="s">
        <v>120</v>
      </c>
      <c r="E75" s="175" t="s">
        <v>123</v>
      </c>
      <c r="F75" s="195">
        <v>115042</v>
      </c>
      <c r="G75" s="179" t="s">
        <v>30</v>
      </c>
      <c r="H75" s="185" t="s">
        <v>31</v>
      </c>
    </row>
    <row r="76" spans="1:8" ht="14.5">
      <c r="A76" s="229" t="s">
        <v>736</v>
      </c>
      <c r="B76" s="181">
        <v>45743</v>
      </c>
      <c r="C76" s="182">
        <v>45743</v>
      </c>
      <c r="D76" s="175" t="s">
        <v>120</v>
      </c>
      <c r="E76" s="175" t="s">
        <v>124</v>
      </c>
      <c r="F76" s="195">
        <v>35000</v>
      </c>
      <c r="G76" s="179" t="s">
        <v>30</v>
      </c>
      <c r="H76" s="185" t="s">
        <v>31</v>
      </c>
    </row>
    <row r="77" spans="1:8" ht="14.5">
      <c r="A77" s="229" t="s">
        <v>736</v>
      </c>
      <c r="B77" s="181">
        <v>45743</v>
      </c>
      <c r="C77" s="182">
        <v>45743</v>
      </c>
      <c r="D77" s="175" t="s">
        <v>120</v>
      </c>
      <c r="E77" s="175" t="s">
        <v>125</v>
      </c>
      <c r="F77" s="195">
        <v>300000</v>
      </c>
      <c r="G77" s="179" t="s">
        <v>30</v>
      </c>
      <c r="H77" s="185" t="s">
        <v>31</v>
      </c>
    </row>
    <row r="78" spans="1:8" ht="14.5">
      <c r="A78" s="229" t="s">
        <v>736</v>
      </c>
      <c r="B78" s="181">
        <v>45743</v>
      </c>
      <c r="C78" s="182">
        <v>45743</v>
      </c>
      <c r="D78" s="175"/>
      <c r="E78" s="175" t="s">
        <v>126</v>
      </c>
      <c r="F78" s="195">
        <v>10000</v>
      </c>
      <c r="G78" s="179" t="s">
        <v>41</v>
      </c>
      <c r="H78" s="185" t="s">
        <v>25</v>
      </c>
    </row>
    <row r="79" spans="1:8" ht="14.5">
      <c r="A79" s="229" t="s">
        <v>736</v>
      </c>
      <c r="B79" s="181">
        <v>45743</v>
      </c>
      <c r="C79" s="182">
        <v>45743</v>
      </c>
      <c r="D79" s="175" t="s">
        <v>120</v>
      </c>
      <c r="E79" s="175" t="s">
        <v>124</v>
      </c>
      <c r="F79" s="195">
        <v>35000</v>
      </c>
      <c r="G79" s="179" t="s">
        <v>30</v>
      </c>
      <c r="H79" s="185" t="s">
        <v>31</v>
      </c>
    </row>
    <row r="80" spans="1:8" ht="14.5">
      <c r="A80" s="229" t="s">
        <v>736</v>
      </c>
      <c r="B80" s="181">
        <v>45743</v>
      </c>
      <c r="C80" s="182">
        <v>45743</v>
      </c>
      <c r="D80" s="175" t="s">
        <v>120</v>
      </c>
      <c r="E80" s="175" t="s">
        <v>127</v>
      </c>
      <c r="F80" s="195">
        <v>452654</v>
      </c>
      <c r="G80" s="179" t="s">
        <v>30</v>
      </c>
      <c r="H80" s="185" t="s">
        <v>31</v>
      </c>
    </row>
    <row r="81" spans="1:8" ht="14.5">
      <c r="A81" s="229" t="s">
        <v>736</v>
      </c>
      <c r="B81" s="181">
        <v>45743</v>
      </c>
      <c r="C81" s="182">
        <v>45743</v>
      </c>
      <c r="D81" s="175" t="s">
        <v>120</v>
      </c>
      <c r="E81" s="175" t="s">
        <v>128</v>
      </c>
      <c r="F81" s="195">
        <v>90000</v>
      </c>
      <c r="G81" s="179" t="s">
        <v>30</v>
      </c>
      <c r="H81" s="185" t="s">
        <v>31</v>
      </c>
    </row>
    <row r="82" spans="1:8" ht="17">
      <c r="A82" s="229" t="s">
        <v>736</v>
      </c>
      <c r="B82" s="181">
        <v>45743</v>
      </c>
      <c r="C82" s="182">
        <v>45743</v>
      </c>
      <c r="D82" s="174"/>
      <c r="E82" s="175" t="s">
        <v>129</v>
      </c>
      <c r="F82" s="195">
        <v>36400</v>
      </c>
      <c r="G82" s="179" t="s">
        <v>41</v>
      </c>
      <c r="H82" s="185" t="s">
        <v>25</v>
      </c>
    </row>
    <row r="83" spans="1:8" ht="17">
      <c r="A83" s="229" t="s">
        <v>736</v>
      </c>
      <c r="B83" s="181">
        <v>45763</v>
      </c>
      <c r="C83" s="182">
        <v>45763</v>
      </c>
      <c r="D83" s="174"/>
      <c r="E83" s="175" t="s">
        <v>130</v>
      </c>
      <c r="F83" s="195">
        <v>800000</v>
      </c>
      <c r="G83" s="179" t="s">
        <v>24</v>
      </c>
      <c r="H83" s="185" t="s">
        <v>25</v>
      </c>
    </row>
    <row r="84" spans="1:8" ht="14.5">
      <c r="A84" s="229" t="s">
        <v>737</v>
      </c>
      <c r="B84" s="203">
        <v>45658</v>
      </c>
      <c r="C84" s="151">
        <v>45658</v>
      </c>
      <c r="D84" s="133" t="s">
        <v>131</v>
      </c>
      <c r="E84" s="176" t="s">
        <v>132</v>
      </c>
      <c r="F84" s="96">
        <v>2145000</v>
      </c>
      <c r="G84" s="66" t="s">
        <v>133</v>
      </c>
      <c r="H84" s="138" t="s">
        <v>134</v>
      </c>
    </row>
    <row r="85" spans="1:8" ht="29">
      <c r="A85" s="229" t="s">
        <v>737</v>
      </c>
      <c r="B85" s="201">
        <v>45659</v>
      </c>
      <c r="C85" s="151">
        <v>45659</v>
      </c>
      <c r="D85" s="177" t="s">
        <v>135</v>
      </c>
      <c r="E85" s="191" t="s">
        <v>136</v>
      </c>
      <c r="F85" s="192">
        <v>1489910</v>
      </c>
      <c r="G85" s="66" t="s">
        <v>137</v>
      </c>
      <c r="H85" s="138" t="s">
        <v>134</v>
      </c>
    </row>
    <row r="86" spans="1:8" ht="14.5">
      <c r="A86" s="229" t="s">
        <v>737</v>
      </c>
      <c r="B86" s="201">
        <v>45659</v>
      </c>
      <c r="C86" s="151">
        <v>45659</v>
      </c>
      <c r="D86" s="129" t="s">
        <v>28</v>
      </c>
      <c r="E86" s="66" t="s">
        <v>138</v>
      </c>
      <c r="F86" s="193">
        <v>114000</v>
      </c>
      <c r="G86" s="66" t="s">
        <v>133</v>
      </c>
      <c r="H86" s="138" t="s">
        <v>134</v>
      </c>
    </row>
    <row r="87" spans="1:8" ht="14.5">
      <c r="A87" s="229" t="s">
        <v>737</v>
      </c>
      <c r="B87" s="202">
        <v>45666</v>
      </c>
      <c r="C87" s="151">
        <v>45666</v>
      </c>
      <c r="D87" s="129" t="s">
        <v>28</v>
      </c>
      <c r="E87" s="66" t="s">
        <v>139</v>
      </c>
      <c r="F87" s="193">
        <v>192000</v>
      </c>
      <c r="G87" s="66" t="s">
        <v>133</v>
      </c>
      <c r="H87" s="138" t="s">
        <v>134</v>
      </c>
    </row>
    <row r="88" spans="1:8" ht="14.5">
      <c r="A88" s="229" t="s">
        <v>737</v>
      </c>
      <c r="B88" s="202">
        <v>45666</v>
      </c>
      <c r="C88" s="151">
        <v>45666</v>
      </c>
      <c r="D88" s="129" t="s">
        <v>140</v>
      </c>
      <c r="E88" s="66" t="s">
        <v>141</v>
      </c>
      <c r="F88" s="96">
        <v>405750</v>
      </c>
      <c r="G88" s="66" t="s">
        <v>133</v>
      </c>
      <c r="H88" s="138" t="s">
        <v>134</v>
      </c>
    </row>
    <row r="89" spans="1:8" ht="14.5">
      <c r="A89" s="229" t="s">
        <v>737</v>
      </c>
      <c r="B89" s="202">
        <v>45672</v>
      </c>
      <c r="C89" s="151">
        <v>45672</v>
      </c>
      <c r="D89" s="134" t="s">
        <v>142</v>
      </c>
      <c r="E89" s="66" t="s">
        <v>143</v>
      </c>
      <c r="F89" s="96">
        <v>832663.4</v>
      </c>
      <c r="G89" s="66" t="s">
        <v>133</v>
      </c>
      <c r="H89" s="138" t="s">
        <v>134</v>
      </c>
    </row>
    <row r="90" spans="1:8" ht="14.5">
      <c r="A90" s="229" t="s">
        <v>737</v>
      </c>
      <c r="B90" s="201">
        <v>45671</v>
      </c>
      <c r="C90" s="151">
        <v>45671</v>
      </c>
      <c r="D90" s="199" t="s">
        <v>42</v>
      </c>
      <c r="E90" s="66" t="s">
        <v>144</v>
      </c>
      <c r="F90" s="96">
        <v>299100</v>
      </c>
      <c r="G90" s="66" t="s">
        <v>133</v>
      </c>
      <c r="H90" s="138" t="s">
        <v>134</v>
      </c>
    </row>
    <row r="91" spans="1:8" ht="14.5">
      <c r="A91" s="229" t="s">
        <v>737</v>
      </c>
      <c r="B91" s="202">
        <v>45677</v>
      </c>
      <c r="C91" s="151">
        <v>45677</v>
      </c>
      <c r="D91" s="94" t="s">
        <v>145</v>
      </c>
      <c r="E91" s="94" t="s">
        <v>146</v>
      </c>
      <c r="F91" s="96">
        <v>1966920</v>
      </c>
      <c r="G91" s="66" t="s">
        <v>133</v>
      </c>
      <c r="H91" s="138" t="s">
        <v>134</v>
      </c>
    </row>
    <row r="92" spans="1:8" ht="14.5">
      <c r="A92" s="229" t="s">
        <v>737</v>
      </c>
      <c r="B92" s="201">
        <v>45680</v>
      </c>
      <c r="C92" s="151">
        <v>45680</v>
      </c>
      <c r="D92" s="129" t="s">
        <v>62</v>
      </c>
      <c r="E92" s="66" t="s">
        <v>147</v>
      </c>
      <c r="F92" s="96">
        <v>175000</v>
      </c>
      <c r="G92" s="66" t="s">
        <v>133</v>
      </c>
      <c r="H92" s="138" t="s">
        <v>134</v>
      </c>
    </row>
    <row r="93" spans="1:8" ht="14.5">
      <c r="A93" s="229" t="s">
        <v>737</v>
      </c>
      <c r="B93" s="202">
        <v>45699</v>
      </c>
      <c r="C93" s="151">
        <v>45699</v>
      </c>
      <c r="D93" s="129" t="s">
        <v>66</v>
      </c>
      <c r="E93" s="94" t="s">
        <v>148</v>
      </c>
      <c r="F93" s="96">
        <v>1076000</v>
      </c>
      <c r="G93" s="66" t="s">
        <v>133</v>
      </c>
      <c r="H93" s="138" t="s">
        <v>134</v>
      </c>
    </row>
    <row r="94" spans="1:8" ht="14.5">
      <c r="A94" s="229" t="s">
        <v>737</v>
      </c>
      <c r="B94" s="202">
        <v>45694</v>
      </c>
      <c r="C94" s="151">
        <v>45694</v>
      </c>
      <c r="D94" s="134" t="s">
        <v>149</v>
      </c>
      <c r="E94" s="66" t="s">
        <v>150</v>
      </c>
      <c r="F94" s="96">
        <v>477300</v>
      </c>
      <c r="G94" s="66" t="s">
        <v>133</v>
      </c>
      <c r="H94" s="138" t="s">
        <v>134</v>
      </c>
    </row>
    <row r="95" spans="1:8" ht="14.5">
      <c r="A95" s="229" t="s">
        <v>737</v>
      </c>
      <c r="B95" s="201">
        <v>45698</v>
      </c>
      <c r="C95" s="151">
        <v>45698</v>
      </c>
      <c r="D95" s="129" t="s">
        <v>75</v>
      </c>
      <c r="E95" s="66" t="s">
        <v>151</v>
      </c>
      <c r="F95" s="96">
        <v>220000</v>
      </c>
      <c r="G95" s="66" t="s">
        <v>137</v>
      </c>
      <c r="H95" s="138" t="s">
        <v>152</v>
      </c>
    </row>
    <row r="96" spans="1:8" ht="14.5">
      <c r="A96" s="229" t="s">
        <v>737</v>
      </c>
      <c r="B96" s="202">
        <v>45706</v>
      </c>
      <c r="C96" s="151">
        <v>45706</v>
      </c>
      <c r="D96" s="129" t="s">
        <v>75</v>
      </c>
      <c r="E96" s="66" t="s">
        <v>153</v>
      </c>
      <c r="F96" s="96">
        <v>800000</v>
      </c>
      <c r="G96" s="66" t="s">
        <v>133</v>
      </c>
      <c r="H96" s="138" t="s">
        <v>134</v>
      </c>
    </row>
    <row r="97" spans="1:8" ht="14.5">
      <c r="A97" s="229" t="s">
        <v>737</v>
      </c>
      <c r="B97" s="202">
        <v>45706</v>
      </c>
      <c r="C97" s="151">
        <v>45706</v>
      </c>
      <c r="D97" s="129" t="s">
        <v>75</v>
      </c>
      <c r="E97" s="66" t="s">
        <v>154</v>
      </c>
      <c r="F97" s="96">
        <v>20000</v>
      </c>
      <c r="G97" s="66" t="s">
        <v>133</v>
      </c>
      <c r="H97" s="138" t="s">
        <v>134</v>
      </c>
    </row>
    <row r="98" spans="1:8" ht="14.5">
      <c r="A98" s="229" t="s">
        <v>737</v>
      </c>
      <c r="B98" s="202">
        <v>45706</v>
      </c>
      <c r="C98" s="151">
        <v>45706</v>
      </c>
      <c r="D98" s="134" t="s">
        <v>82</v>
      </c>
      <c r="E98" s="79" t="s">
        <v>155</v>
      </c>
      <c r="F98" s="96">
        <v>20000</v>
      </c>
      <c r="G98" s="66" t="s">
        <v>137</v>
      </c>
      <c r="H98" s="138" t="s">
        <v>152</v>
      </c>
    </row>
    <row r="99" spans="1:8" ht="14.5">
      <c r="A99" s="229" t="s">
        <v>737</v>
      </c>
      <c r="B99" s="201">
        <v>45713</v>
      </c>
      <c r="C99" s="151">
        <v>45713</v>
      </c>
      <c r="D99" s="134" t="s">
        <v>82</v>
      </c>
      <c r="E99" s="79" t="s">
        <v>156</v>
      </c>
      <c r="F99" s="96">
        <v>140000</v>
      </c>
      <c r="G99" s="66" t="s">
        <v>133</v>
      </c>
      <c r="H99" s="138" t="s">
        <v>134</v>
      </c>
    </row>
    <row r="100" spans="1:8" ht="14.5">
      <c r="A100" s="229" t="s">
        <v>737</v>
      </c>
      <c r="B100" s="201">
        <v>45713</v>
      </c>
      <c r="C100" s="151">
        <v>45713</v>
      </c>
      <c r="D100" s="129" t="s">
        <v>94</v>
      </c>
      <c r="E100" s="177" t="s">
        <v>157</v>
      </c>
      <c r="F100" s="194">
        <v>200000</v>
      </c>
      <c r="G100" s="66" t="s">
        <v>133</v>
      </c>
      <c r="H100" s="138" t="s">
        <v>134</v>
      </c>
    </row>
    <row r="101" spans="1:8" ht="14.5">
      <c r="A101" s="229" t="s">
        <v>737</v>
      </c>
      <c r="B101" s="202">
        <v>45726</v>
      </c>
      <c r="C101" s="151">
        <v>45726</v>
      </c>
      <c r="D101" s="129" t="s">
        <v>94</v>
      </c>
      <c r="E101" s="177" t="s">
        <v>158</v>
      </c>
      <c r="F101" s="194">
        <v>95000</v>
      </c>
      <c r="G101" s="66" t="s">
        <v>133</v>
      </c>
      <c r="H101" s="138" t="s">
        <v>134</v>
      </c>
    </row>
    <row r="102" spans="1:8" ht="14.5">
      <c r="A102" s="229" t="s">
        <v>737</v>
      </c>
      <c r="B102" s="202">
        <v>45726</v>
      </c>
      <c r="C102" s="151">
        <v>45726</v>
      </c>
      <c r="D102" s="129" t="s">
        <v>94</v>
      </c>
      <c r="E102" s="177" t="s">
        <v>159</v>
      </c>
      <c r="F102" s="194">
        <v>118200</v>
      </c>
      <c r="G102" s="66" t="s">
        <v>133</v>
      </c>
      <c r="H102" s="138" t="s">
        <v>134</v>
      </c>
    </row>
    <row r="103" spans="1:8" ht="14.5">
      <c r="A103" s="229" t="s">
        <v>737</v>
      </c>
      <c r="B103" s="202">
        <v>45726</v>
      </c>
      <c r="C103" s="151">
        <v>45726</v>
      </c>
      <c r="D103" s="129" t="s">
        <v>94</v>
      </c>
      <c r="E103" s="177" t="s">
        <v>160</v>
      </c>
      <c r="F103" s="194">
        <v>18000</v>
      </c>
      <c r="G103" s="66" t="s">
        <v>133</v>
      </c>
      <c r="H103" s="138" t="s">
        <v>134</v>
      </c>
    </row>
    <row r="104" spans="1:8" ht="14.5">
      <c r="A104" s="229" t="s">
        <v>737</v>
      </c>
      <c r="B104" s="202">
        <v>45726</v>
      </c>
      <c r="C104" s="151">
        <v>45726</v>
      </c>
      <c r="D104" s="129" t="s">
        <v>94</v>
      </c>
      <c r="E104" s="177" t="s">
        <v>161</v>
      </c>
      <c r="F104" s="194">
        <v>90000</v>
      </c>
      <c r="G104" s="66" t="s">
        <v>133</v>
      </c>
      <c r="H104" s="138" t="s">
        <v>134</v>
      </c>
    </row>
    <row r="105" spans="1:8" ht="14.5">
      <c r="A105" s="229" t="s">
        <v>737</v>
      </c>
      <c r="B105" s="202">
        <v>45726</v>
      </c>
      <c r="C105" s="151">
        <v>45726</v>
      </c>
      <c r="D105" s="134" t="s">
        <v>162</v>
      </c>
      <c r="E105" s="66" t="s">
        <v>163</v>
      </c>
      <c r="F105" s="96">
        <v>1332000</v>
      </c>
      <c r="G105" s="66" t="s">
        <v>137</v>
      </c>
      <c r="H105" s="138" t="s">
        <v>134</v>
      </c>
    </row>
    <row r="106" spans="1:8" ht="29">
      <c r="A106" s="229" t="s">
        <v>737</v>
      </c>
      <c r="B106" s="201">
        <v>45737</v>
      </c>
      <c r="C106" s="151">
        <v>45737</v>
      </c>
      <c r="D106" s="200" t="s">
        <v>164</v>
      </c>
      <c r="E106" s="177" t="s">
        <v>165</v>
      </c>
      <c r="F106" s="192">
        <v>5000000</v>
      </c>
      <c r="G106" s="66" t="s">
        <v>166</v>
      </c>
      <c r="H106" s="138" t="s">
        <v>152</v>
      </c>
    </row>
    <row r="107" spans="1:8" ht="14.5">
      <c r="A107" s="229" t="s">
        <v>737</v>
      </c>
      <c r="B107" s="202">
        <v>45741</v>
      </c>
      <c r="C107" s="151">
        <v>45726</v>
      </c>
      <c r="D107" s="129" t="s">
        <v>120</v>
      </c>
      <c r="E107" s="66" t="s">
        <v>167</v>
      </c>
      <c r="F107" s="96">
        <v>10000</v>
      </c>
      <c r="G107" s="66" t="s">
        <v>133</v>
      </c>
      <c r="H107" s="138" t="s">
        <v>152</v>
      </c>
    </row>
    <row r="108" spans="1:8" ht="14.5">
      <c r="A108" s="229" t="s">
        <v>737</v>
      </c>
      <c r="B108" s="202">
        <v>45743</v>
      </c>
      <c r="C108" s="151">
        <v>45743</v>
      </c>
      <c r="D108" s="129" t="s">
        <v>120</v>
      </c>
      <c r="E108" s="66" t="s">
        <v>168</v>
      </c>
      <c r="F108" s="96">
        <v>322000</v>
      </c>
      <c r="G108" s="66" t="s">
        <v>133</v>
      </c>
      <c r="H108" s="138" t="s">
        <v>134</v>
      </c>
    </row>
    <row r="109" spans="1:8" ht="14.5">
      <c r="A109" s="229" t="s">
        <v>737</v>
      </c>
      <c r="B109" s="202">
        <v>45743</v>
      </c>
      <c r="C109" s="151">
        <v>45743</v>
      </c>
      <c r="D109" s="129" t="s">
        <v>120</v>
      </c>
      <c r="E109" s="66" t="s">
        <v>169</v>
      </c>
      <c r="F109" s="96">
        <v>130000</v>
      </c>
      <c r="G109" s="66" t="s">
        <v>133</v>
      </c>
      <c r="H109" s="138" t="s">
        <v>134</v>
      </c>
    </row>
    <row r="110" spans="1:8" ht="14.5">
      <c r="A110" s="229" t="s">
        <v>737</v>
      </c>
      <c r="B110" s="202">
        <v>45743</v>
      </c>
      <c r="C110" s="151">
        <v>45743</v>
      </c>
      <c r="D110" s="129" t="s">
        <v>120</v>
      </c>
      <c r="E110" s="66" t="s">
        <v>170</v>
      </c>
      <c r="F110" s="96">
        <v>225000</v>
      </c>
      <c r="G110" s="66" t="s">
        <v>133</v>
      </c>
      <c r="H110" s="138" t="s">
        <v>134</v>
      </c>
    </row>
    <row r="111" spans="1:8" ht="14.5">
      <c r="A111" s="229" t="s">
        <v>737</v>
      </c>
      <c r="B111" s="202">
        <v>45743</v>
      </c>
      <c r="C111" s="151">
        <v>45743</v>
      </c>
      <c r="D111" s="129" t="s">
        <v>120</v>
      </c>
      <c r="E111" s="66" t="s">
        <v>171</v>
      </c>
      <c r="F111" s="96">
        <v>12500</v>
      </c>
      <c r="G111" s="66" t="s">
        <v>133</v>
      </c>
      <c r="H111" s="138" t="s">
        <v>134</v>
      </c>
    </row>
    <row r="112" spans="1:8" ht="14.5">
      <c r="A112" s="229" t="s">
        <v>737</v>
      </c>
      <c r="B112" s="202">
        <v>45743</v>
      </c>
      <c r="C112" s="151">
        <v>45743</v>
      </c>
      <c r="D112" s="129" t="s">
        <v>120</v>
      </c>
      <c r="E112" s="66" t="s">
        <v>172</v>
      </c>
      <c r="F112" s="96">
        <v>226000</v>
      </c>
      <c r="G112" s="66" t="s">
        <v>133</v>
      </c>
      <c r="H112" s="138" t="s">
        <v>134</v>
      </c>
    </row>
    <row r="113" spans="1:8" ht="14.5">
      <c r="A113" s="229" t="s">
        <v>737</v>
      </c>
      <c r="B113" s="202">
        <v>45743</v>
      </c>
      <c r="C113" s="151">
        <v>45743</v>
      </c>
      <c r="D113" s="134" t="s">
        <v>173</v>
      </c>
      <c r="E113" s="66" t="s">
        <v>174</v>
      </c>
      <c r="F113" s="96">
        <v>5905200</v>
      </c>
      <c r="G113" s="66" t="s">
        <v>137</v>
      </c>
      <c r="H113" s="138" t="s">
        <v>134</v>
      </c>
    </row>
    <row r="114" spans="1:8" ht="14.5">
      <c r="A114" s="229" t="s">
        <v>175</v>
      </c>
      <c r="B114" s="216">
        <v>45658</v>
      </c>
      <c r="D114" s="218">
        <v>61010645</v>
      </c>
      <c r="E114" s="66" t="s">
        <v>179</v>
      </c>
      <c r="F114" s="217">
        <v>204098</v>
      </c>
      <c r="G114" s="66" t="s">
        <v>178</v>
      </c>
      <c r="H114" s="66" t="s">
        <v>180</v>
      </c>
    </row>
    <row r="115" spans="1:8" ht="14.5">
      <c r="A115" s="229" t="s">
        <v>175</v>
      </c>
      <c r="B115" s="216">
        <v>45658</v>
      </c>
      <c r="D115" s="218">
        <v>61010645</v>
      </c>
      <c r="E115" s="66" t="s">
        <v>181</v>
      </c>
      <c r="F115" s="217">
        <v>775000</v>
      </c>
      <c r="G115" s="66" t="s">
        <v>178</v>
      </c>
      <c r="H115" s="66" t="s">
        <v>180</v>
      </c>
    </row>
    <row r="116" spans="1:8" ht="14.5">
      <c r="A116" s="229" t="s">
        <v>175</v>
      </c>
      <c r="B116" s="216">
        <v>45689</v>
      </c>
      <c r="D116" s="218">
        <v>61010645</v>
      </c>
      <c r="E116" s="117" t="s">
        <v>183</v>
      </c>
      <c r="F116" s="217">
        <v>814000</v>
      </c>
      <c r="G116" s="219" t="s">
        <v>182</v>
      </c>
      <c r="H116" s="66" t="s">
        <v>180</v>
      </c>
    </row>
    <row r="117" spans="1:8" ht="14.5">
      <c r="A117" s="229" t="s">
        <v>175</v>
      </c>
      <c r="B117" s="216">
        <v>45689</v>
      </c>
      <c r="D117" s="218">
        <v>61010645</v>
      </c>
      <c r="E117" s="117" t="s">
        <v>184</v>
      </c>
      <c r="F117" s="217">
        <v>19500000</v>
      </c>
      <c r="G117" s="219" t="s">
        <v>182</v>
      </c>
      <c r="H117" s="66" t="s">
        <v>180</v>
      </c>
    </row>
    <row r="118" spans="1:8" ht="14.5">
      <c r="A118" s="229" t="s">
        <v>175</v>
      </c>
      <c r="B118" s="216">
        <v>45689</v>
      </c>
      <c r="D118" s="218">
        <v>61010645</v>
      </c>
      <c r="E118" s="117" t="s">
        <v>185</v>
      </c>
      <c r="F118" s="217">
        <v>1330000</v>
      </c>
      <c r="G118" s="219" t="s">
        <v>182</v>
      </c>
      <c r="H118" s="66" t="s">
        <v>180</v>
      </c>
    </row>
    <row r="119" spans="1:8" ht="14.5">
      <c r="A119" s="229" t="s">
        <v>175</v>
      </c>
      <c r="B119" s="216">
        <v>45689</v>
      </c>
      <c r="D119" s="218">
        <v>61010645</v>
      </c>
      <c r="E119" s="117" t="s">
        <v>186</v>
      </c>
      <c r="F119" s="217">
        <v>455932</v>
      </c>
      <c r="G119" s="219" t="s">
        <v>182</v>
      </c>
      <c r="H119" s="66" t="s">
        <v>180</v>
      </c>
    </row>
    <row r="120" spans="1:8" ht="14.5">
      <c r="A120" s="229" t="s">
        <v>175</v>
      </c>
      <c r="B120" s="216">
        <v>45689</v>
      </c>
      <c r="D120" s="218">
        <v>61010645</v>
      </c>
      <c r="E120" s="117" t="s">
        <v>187</v>
      </c>
      <c r="F120" s="217">
        <v>800000</v>
      </c>
      <c r="G120" s="219" t="s">
        <v>182</v>
      </c>
      <c r="H120" s="66" t="s">
        <v>180</v>
      </c>
    </row>
    <row r="121" spans="1:8" ht="14.5">
      <c r="A121" s="229" t="s">
        <v>175</v>
      </c>
      <c r="B121" s="216">
        <v>45689</v>
      </c>
      <c r="D121" s="218">
        <v>61010645</v>
      </c>
      <c r="E121" s="117" t="s">
        <v>188</v>
      </c>
      <c r="F121" s="217">
        <v>125370</v>
      </c>
      <c r="G121" s="219" t="s">
        <v>182</v>
      </c>
      <c r="H121" s="66" t="s">
        <v>180</v>
      </c>
    </row>
    <row r="122" spans="1:8" ht="14.5">
      <c r="A122" s="229" t="s">
        <v>175</v>
      </c>
      <c r="B122" s="216">
        <v>45689</v>
      </c>
      <c r="D122" s="218">
        <v>61010645</v>
      </c>
      <c r="E122" s="117" t="s">
        <v>189</v>
      </c>
      <c r="F122" s="217">
        <v>152764</v>
      </c>
      <c r="G122" s="219" t="s">
        <v>182</v>
      </c>
      <c r="H122" s="66" t="s">
        <v>180</v>
      </c>
    </row>
    <row r="123" spans="1:8" ht="14.5">
      <c r="A123" s="229" t="s">
        <v>175</v>
      </c>
      <c r="B123" s="216">
        <v>45689</v>
      </c>
      <c r="D123" s="218">
        <v>61010645</v>
      </c>
      <c r="E123" s="117" t="s">
        <v>190</v>
      </c>
      <c r="F123" s="217">
        <v>282250</v>
      </c>
      <c r="G123" s="219" t="s">
        <v>182</v>
      </c>
      <c r="H123" s="66" t="s">
        <v>180</v>
      </c>
    </row>
    <row r="124" spans="1:8" ht="14.5">
      <c r="A124" s="229" t="s">
        <v>175</v>
      </c>
      <c r="B124" s="216">
        <v>45689</v>
      </c>
      <c r="D124" s="218">
        <v>61010645</v>
      </c>
      <c r="E124" s="117" t="s">
        <v>191</v>
      </c>
      <c r="F124" s="217">
        <v>276645</v>
      </c>
      <c r="G124" s="219" t="s">
        <v>182</v>
      </c>
      <c r="H124" s="66" t="s">
        <v>180</v>
      </c>
    </row>
    <row r="125" spans="1:8" ht="14.5">
      <c r="A125" s="229" t="s">
        <v>175</v>
      </c>
      <c r="B125" s="216">
        <v>45689</v>
      </c>
      <c r="D125" s="218">
        <v>61010645</v>
      </c>
      <c r="E125" s="117" t="s">
        <v>192</v>
      </c>
      <c r="F125" s="217">
        <v>121700</v>
      </c>
      <c r="G125" s="219" t="s">
        <v>182</v>
      </c>
      <c r="H125" s="66" t="s">
        <v>180</v>
      </c>
    </row>
    <row r="126" spans="1:8" ht="14.5">
      <c r="A126" s="229" t="s">
        <v>175</v>
      </c>
      <c r="B126" s="216">
        <v>45689</v>
      </c>
      <c r="D126" s="218">
        <v>61010645</v>
      </c>
      <c r="E126" s="117" t="s">
        <v>193</v>
      </c>
      <c r="F126" s="217">
        <v>242700</v>
      </c>
      <c r="G126" s="219" t="s">
        <v>182</v>
      </c>
      <c r="H126" s="66" t="s">
        <v>180</v>
      </c>
    </row>
    <row r="127" spans="1:8" ht="14.5">
      <c r="A127" s="229" t="s">
        <v>175</v>
      </c>
      <c r="B127" s="216">
        <v>45689</v>
      </c>
      <c r="D127" s="218">
        <v>61010645</v>
      </c>
      <c r="E127" s="117" t="s">
        <v>195</v>
      </c>
      <c r="F127" s="217">
        <v>5923077</v>
      </c>
      <c r="G127" s="219" t="s">
        <v>194</v>
      </c>
      <c r="H127" s="66" t="s">
        <v>180</v>
      </c>
    </row>
    <row r="128" spans="1:8" ht="14.5">
      <c r="A128" s="229" t="s">
        <v>175</v>
      </c>
      <c r="B128" s="216">
        <v>45717</v>
      </c>
      <c r="D128" s="218">
        <v>61010645</v>
      </c>
      <c r="E128" s="117" t="s">
        <v>197</v>
      </c>
      <c r="F128" s="217">
        <v>36828000</v>
      </c>
      <c r="G128" s="66" t="s">
        <v>196</v>
      </c>
      <c r="H128" s="66" t="s">
        <v>180</v>
      </c>
    </row>
    <row r="129" spans="1:8" ht="14.5">
      <c r="A129" s="229" t="s">
        <v>175</v>
      </c>
      <c r="B129" s="216">
        <v>45717</v>
      </c>
      <c r="D129" s="218">
        <v>61010645</v>
      </c>
      <c r="E129" s="66" t="s">
        <v>198</v>
      </c>
      <c r="F129" s="217">
        <v>2904000</v>
      </c>
      <c r="G129" s="66" t="s">
        <v>196</v>
      </c>
      <c r="H129" s="66" t="s">
        <v>180</v>
      </c>
    </row>
    <row r="130" spans="1:8" ht="14.5">
      <c r="A130" s="229" t="s">
        <v>738</v>
      </c>
      <c r="B130" s="202">
        <v>45672</v>
      </c>
      <c r="C130" s="63">
        <v>45672</v>
      </c>
      <c r="D130" s="131"/>
      <c r="E130" s="147" t="s">
        <v>199</v>
      </c>
      <c r="F130" s="195">
        <v>199500</v>
      </c>
      <c r="G130" s="66" t="s">
        <v>200</v>
      </c>
      <c r="H130" s="66" t="s">
        <v>201</v>
      </c>
    </row>
    <row r="131" spans="1:8" ht="14.5">
      <c r="A131" s="229" t="s">
        <v>738</v>
      </c>
      <c r="B131" s="202">
        <v>45672</v>
      </c>
      <c r="C131" s="63">
        <v>45672</v>
      </c>
      <c r="D131" s="131"/>
      <c r="E131" s="147" t="s">
        <v>202</v>
      </c>
      <c r="F131" s="195">
        <v>172000</v>
      </c>
      <c r="G131" s="66" t="s">
        <v>203</v>
      </c>
      <c r="H131" s="66" t="s">
        <v>204</v>
      </c>
    </row>
    <row r="132" spans="1:8" ht="14.5">
      <c r="A132" s="229" t="s">
        <v>738</v>
      </c>
      <c r="B132" s="202">
        <v>45677</v>
      </c>
      <c r="C132" s="63">
        <v>45677</v>
      </c>
      <c r="D132" s="131"/>
      <c r="E132" s="66" t="s">
        <v>205</v>
      </c>
      <c r="F132" s="195">
        <v>50330</v>
      </c>
      <c r="G132" s="66" t="s">
        <v>206</v>
      </c>
      <c r="H132" s="66" t="s">
        <v>207</v>
      </c>
    </row>
    <row r="133" spans="1:8" ht="14.5">
      <c r="A133" s="229" t="s">
        <v>738</v>
      </c>
      <c r="B133" s="202">
        <v>45677</v>
      </c>
      <c r="C133" s="63">
        <v>45677</v>
      </c>
      <c r="D133" s="131"/>
      <c r="E133" s="66" t="s">
        <v>208</v>
      </c>
      <c r="F133" s="195">
        <v>352500</v>
      </c>
      <c r="G133" s="66" t="s">
        <v>209</v>
      </c>
      <c r="H133" s="66" t="s">
        <v>207</v>
      </c>
    </row>
    <row r="134" spans="1:8" ht="14.5">
      <c r="A134" s="229" t="s">
        <v>738</v>
      </c>
      <c r="B134" s="202">
        <v>45678</v>
      </c>
      <c r="C134" s="63">
        <v>45678</v>
      </c>
      <c r="D134" s="68"/>
      <c r="E134" s="66" t="s">
        <v>210</v>
      </c>
      <c r="F134" s="195">
        <v>257542</v>
      </c>
      <c r="G134" s="66" t="s">
        <v>206</v>
      </c>
      <c r="H134" s="66" t="s">
        <v>207</v>
      </c>
    </row>
    <row r="135" spans="1:8" ht="14.5">
      <c r="A135" s="229" t="s">
        <v>738</v>
      </c>
      <c r="B135" s="202">
        <v>45678</v>
      </c>
      <c r="C135" s="63">
        <v>45678</v>
      </c>
      <c r="D135" s="131"/>
      <c r="E135" s="66" t="s">
        <v>211</v>
      </c>
      <c r="F135" s="195">
        <v>119000</v>
      </c>
      <c r="G135" s="66" t="s">
        <v>206</v>
      </c>
      <c r="H135" s="66" t="s">
        <v>207</v>
      </c>
    </row>
    <row r="136" spans="1:8" ht="14.5">
      <c r="A136" s="229" t="s">
        <v>738</v>
      </c>
      <c r="B136" s="202">
        <v>45678</v>
      </c>
      <c r="C136" s="63">
        <v>45678</v>
      </c>
      <c r="D136" s="131"/>
      <c r="E136" s="66" t="s">
        <v>212</v>
      </c>
      <c r="F136" s="195">
        <v>400000</v>
      </c>
      <c r="G136" s="66" t="s">
        <v>213</v>
      </c>
      <c r="H136" s="208" t="s">
        <v>214</v>
      </c>
    </row>
    <row r="137" spans="1:8" ht="14.5">
      <c r="A137" s="229" t="s">
        <v>738</v>
      </c>
      <c r="B137" s="202">
        <v>45691</v>
      </c>
      <c r="C137" s="63">
        <v>45691</v>
      </c>
      <c r="D137" s="131"/>
      <c r="E137" s="94" t="s">
        <v>215</v>
      </c>
      <c r="F137" s="195">
        <v>206000</v>
      </c>
      <c r="G137" s="66" t="s">
        <v>203</v>
      </c>
      <c r="H137" s="66" t="s">
        <v>204</v>
      </c>
    </row>
    <row r="138" spans="1:8" ht="14.5">
      <c r="A138" s="229" t="s">
        <v>738</v>
      </c>
      <c r="B138" s="202">
        <v>45691</v>
      </c>
      <c r="C138" s="63">
        <v>45691</v>
      </c>
      <c r="D138" s="131"/>
      <c r="E138" s="10" t="s">
        <v>216</v>
      </c>
      <c r="F138" s="195">
        <v>4239222</v>
      </c>
      <c r="G138" s="66" t="s">
        <v>203</v>
      </c>
      <c r="H138" s="208" t="s">
        <v>217</v>
      </c>
    </row>
    <row r="139" spans="1:8" ht="14.5">
      <c r="A139" s="229" t="s">
        <v>738</v>
      </c>
      <c r="B139" s="202">
        <v>45691</v>
      </c>
      <c r="C139" s="63">
        <v>45691</v>
      </c>
      <c r="D139" s="131"/>
      <c r="E139" s="66" t="s">
        <v>218</v>
      </c>
      <c r="F139" s="195">
        <v>2127500</v>
      </c>
      <c r="G139" s="66" t="s">
        <v>219</v>
      </c>
      <c r="H139" s="208" t="s">
        <v>214</v>
      </c>
    </row>
    <row r="140" spans="1:8" ht="14.5">
      <c r="A140" s="229" t="s">
        <v>738</v>
      </c>
      <c r="B140" s="202">
        <v>45691</v>
      </c>
      <c r="C140" s="63">
        <v>45691</v>
      </c>
      <c r="D140" s="131"/>
      <c r="E140" s="66" t="s">
        <v>218</v>
      </c>
      <c r="F140" s="195">
        <v>600000</v>
      </c>
      <c r="G140" s="66" t="s">
        <v>213</v>
      </c>
      <c r="H140" s="208" t="s">
        <v>214</v>
      </c>
    </row>
    <row r="141" spans="1:8" ht="14.5">
      <c r="A141" s="229" t="s">
        <v>738</v>
      </c>
      <c r="B141" s="202">
        <v>45692</v>
      </c>
      <c r="C141" s="63">
        <v>45692</v>
      </c>
      <c r="D141" s="131"/>
      <c r="E141" s="147" t="s">
        <v>220</v>
      </c>
      <c r="F141" s="195">
        <v>161000</v>
      </c>
      <c r="G141" s="66" t="s">
        <v>200</v>
      </c>
      <c r="H141" s="66" t="s">
        <v>201</v>
      </c>
    </row>
    <row r="142" spans="1:8" ht="14.5">
      <c r="A142" s="229" t="s">
        <v>738</v>
      </c>
      <c r="B142" s="202">
        <v>45693</v>
      </c>
      <c r="C142" s="63">
        <v>45693</v>
      </c>
      <c r="D142" s="131"/>
      <c r="E142" s="66" t="s">
        <v>221</v>
      </c>
      <c r="F142" s="195">
        <f>325800+294000</f>
        <v>619800</v>
      </c>
      <c r="G142" s="66" t="s">
        <v>203</v>
      </c>
      <c r="H142" s="66" t="s">
        <v>204</v>
      </c>
    </row>
    <row r="143" spans="1:8" ht="14.5">
      <c r="A143" s="229" t="s">
        <v>738</v>
      </c>
      <c r="B143" s="202">
        <v>45694</v>
      </c>
      <c r="C143" s="63">
        <v>45694</v>
      </c>
      <c r="D143" s="131"/>
      <c r="E143" s="94" t="s">
        <v>222</v>
      </c>
      <c r="F143" s="195">
        <v>69500</v>
      </c>
      <c r="G143" s="66" t="s">
        <v>206</v>
      </c>
      <c r="H143" s="66" t="s">
        <v>207</v>
      </c>
    </row>
    <row r="144" spans="1:8" ht="14.5">
      <c r="A144" s="229" t="s">
        <v>738</v>
      </c>
      <c r="B144" s="202">
        <v>45701</v>
      </c>
      <c r="C144" s="63">
        <v>45701</v>
      </c>
      <c r="D144" s="131"/>
      <c r="E144" s="66" t="s">
        <v>223</v>
      </c>
      <c r="F144" s="195">
        <v>220460</v>
      </c>
      <c r="G144" s="66" t="s">
        <v>206</v>
      </c>
      <c r="H144" s="66" t="s">
        <v>207</v>
      </c>
    </row>
    <row r="145" spans="1:8" ht="14.5">
      <c r="A145" s="229" t="s">
        <v>738</v>
      </c>
      <c r="B145" s="202">
        <v>45701</v>
      </c>
      <c r="C145" s="63">
        <v>45701</v>
      </c>
      <c r="D145" s="131"/>
      <c r="E145" s="66" t="s">
        <v>224</v>
      </c>
      <c r="F145" s="195">
        <v>183500</v>
      </c>
      <c r="G145" s="66" t="s">
        <v>206</v>
      </c>
      <c r="H145" s="66" t="s">
        <v>207</v>
      </c>
    </row>
    <row r="146" spans="1:8" ht="14.5">
      <c r="A146" s="229" t="s">
        <v>738</v>
      </c>
      <c r="B146" s="202">
        <v>45705</v>
      </c>
      <c r="C146" s="63">
        <v>45705</v>
      </c>
      <c r="D146" s="131"/>
      <c r="E146" s="177" t="s">
        <v>225</v>
      </c>
      <c r="F146" s="195">
        <v>147000</v>
      </c>
      <c r="G146" s="66" t="s">
        <v>200</v>
      </c>
      <c r="H146" s="66" t="s">
        <v>201</v>
      </c>
    </row>
    <row r="147" spans="1:8" ht="14.5">
      <c r="A147" s="229" t="s">
        <v>738</v>
      </c>
      <c r="B147" s="202">
        <v>45705</v>
      </c>
      <c r="C147" s="63">
        <v>45705</v>
      </c>
      <c r="D147" s="131"/>
      <c r="E147" s="177" t="s">
        <v>226</v>
      </c>
      <c r="F147" s="195">
        <v>175000</v>
      </c>
      <c r="G147" s="66" t="s">
        <v>200</v>
      </c>
      <c r="H147" s="66" t="s">
        <v>201</v>
      </c>
    </row>
    <row r="148" spans="1:8" ht="14.5">
      <c r="A148" s="229" t="s">
        <v>738</v>
      </c>
      <c r="B148" s="202">
        <v>45706</v>
      </c>
      <c r="C148" s="63">
        <v>45706</v>
      </c>
      <c r="D148" s="131"/>
      <c r="E148" s="66" t="s">
        <v>227</v>
      </c>
      <c r="F148" s="195">
        <v>200000</v>
      </c>
      <c r="G148" s="66" t="s">
        <v>209</v>
      </c>
      <c r="H148" s="66" t="s">
        <v>207</v>
      </c>
    </row>
    <row r="149" spans="1:8" ht="14.5">
      <c r="A149" s="229" t="s">
        <v>738</v>
      </c>
      <c r="B149" s="202">
        <v>45706</v>
      </c>
      <c r="C149" s="63">
        <v>45706</v>
      </c>
      <c r="D149" s="131"/>
      <c r="E149" s="66" t="s">
        <v>228</v>
      </c>
      <c r="F149" s="195">
        <v>200000</v>
      </c>
      <c r="G149" s="66" t="s">
        <v>209</v>
      </c>
      <c r="H149" s="66" t="s">
        <v>207</v>
      </c>
    </row>
    <row r="150" spans="1:8" ht="14.5">
      <c r="A150" s="229" t="s">
        <v>738</v>
      </c>
      <c r="B150" s="202">
        <v>45706</v>
      </c>
      <c r="C150" s="63">
        <v>45706</v>
      </c>
      <c r="D150" s="136"/>
      <c r="E150" s="66" t="s">
        <v>229</v>
      </c>
      <c r="F150" s="195">
        <v>20000</v>
      </c>
      <c r="G150" s="66" t="s">
        <v>209</v>
      </c>
      <c r="H150" s="66" t="s">
        <v>207</v>
      </c>
    </row>
    <row r="151" spans="1:8" ht="14.5">
      <c r="A151" s="229" t="s">
        <v>738</v>
      </c>
      <c r="B151" s="202">
        <v>45707</v>
      </c>
      <c r="C151" s="135">
        <v>45707</v>
      </c>
      <c r="D151" s="132"/>
      <c r="E151" s="66" t="s">
        <v>230</v>
      </c>
      <c r="F151" s="195">
        <v>118000</v>
      </c>
      <c r="G151" s="134" t="s">
        <v>203</v>
      </c>
      <c r="H151" s="134" t="s">
        <v>204</v>
      </c>
    </row>
    <row r="152" spans="1:8" ht="29">
      <c r="A152" s="229" t="s">
        <v>738</v>
      </c>
      <c r="B152" s="210">
        <v>45714</v>
      </c>
      <c r="C152" s="182">
        <v>45714</v>
      </c>
      <c r="D152" s="212"/>
      <c r="E152" s="205" t="s">
        <v>231</v>
      </c>
      <c r="F152" s="206">
        <v>8846500</v>
      </c>
      <c r="G152" s="207" t="s">
        <v>206</v>
      </c>
      <c r="H152" s="207" t="s">
        <v>207</v>
      </c>
    </row>
    <row r="153" spans="1:8" ht="29">
      <c r="A153" s="229" t="s">
        <v>738</v>
      </c>
      <c r="B153" s="211">
        <v>45714</v>
      </c>
      <c r="C153" s="182">
        <v>45714</v>
      </c>
      <c r="D153" s="213"/>
      <c r="E153" s="177" t="s">
        <v>232</v>
      </c>
      <c r="F153" s="209">
        <v>392000</v>
      </c>
      <c r="G153" s="66" t="s">
        <v>206</v>
      </c>
      <c r="H153" s="66" t="s">
        <v>207</v>
      </c>
    </row>
    <row r="154" spans="1:8" ht="14.5">
      <c r="A154" s="229" t="s">
        <v>738</v>
      </c>
      <c r="B154" s="211">
        <v>45714</v>
      </c>
      <c r="C154" s="182">
        <v>45714</v>
      </c>
      <c r="D154" s="213"/>
      <c r="E154" s="66" t="s">
        <v>233</v>
      </c>
      <c r="F154" s="195">
        <v>512737</v>
      </c>
      <c r="G154" s="207" t="s">
        <v>206</v>
      </c>
      <c r="H154" s="207" t="s">
        <v>207</v>
      </c>
    </row>
    <row r="155" spans="1:8" ht="14.5">
      <c r="A155" s="229" t="s">
        <v>738</v>
      </c>
      <c r="B155" s="202">
        <v>45722</v>
      </c>
      <c r="C155" s="123">
        <v>45722</v>
      </c>
      <c r="D155" s="131"/>
      <c r="E155" s="66" t="s">
        <v>234</v>
      </c>
      <c r="F155" s="195">
        <v>156800</v>
      </c>
      <c r="G155" s="66" t="s">
        <v>200</v>
      </c>
      <c r="H155" s="66" t="s">
        <v>201</v>
      </c>
    </row>
    <row r="156" spans="1:8" ht="14.5">
      <c r="A156" s="229" t="s">
        <v>738</v>
      </c>
      <c r="B156" s="202">
        <v>45722</v>
      </c>
      <c r="C156" s="123">
        <v>45722</v>
      </c>
      <c r="D156" s="131"/>
      <c r="E156" s="66" t="s">
        <v>235</v>
      </c>
      <c r="F156" s="195">
        <v>199500</v>
      </c>
      <c r="G156" s="66" t="s">
        <v>200</v>
      </c>
      <c r="H156" s="66" t="s">
        <v>201</v>
      </c>
    </row>
    <row r="157" spans="1:8" ht="14.5">
      <c r="A157" s="229" t="s">
        <v>738</v>
      </c>
      <c r="B157" s="202">
        <v>45726</v>
      </c>
      <c r="C157" s="123">
        <v>45726</v>
      </c>
      <c r="D157" s="131"/>
      <c r="E157" s="66" t="s">
        <v>236</v>
      </c>
      <c r="F157" s="195">
        <v>77000</v>
      </c>
      <c r="G157" s="134" t="s">
        <v>203</v>
      </c>
      <c r="H157" s="134" t="s">
        <v>204</v>
      </c>
    </row>
    <row r="158" spans="1:8" ht="14.5">
      <c r="A158" s="229" t="s">
        <v>738</v>
      </c>
      <c r="B158" s="202">
        <v>45726</v>
      </c>
      <c r="C158" s="63">
        <v>45726</v>
      </c>
      <c r="D158" s="131"/>
      <c r="E158" s="177" t="s">
        <v>237</v>
      </c>
      <c r="F158" s="195">
        <v>346500</v>
      </c>
      <c r="G158" s="66" t="s">
        <v>200</v>
      </c>
      <c r="H158" s="66" t="s">
        <v>201</v>
      </c>
    </row>
    <row r="159" spans="1:8" ht="14.5">
      <c r="A159" s="229" t="s">
        <v>738</v>
      </c>
      <c r="B159" s="202">
        <v>45726</v>
      </c>
      <c r="C159" s="63">
        <v>45726</v>
      </c>
      <c r="D159" s="131"/>
      <c r="E159" s="177" t="s">
        <v>238</v>
      </c>
      <c r="F159" s="195">
        <v>41000</v>
      </c>
      <c r="G159" s="66" t="s">
        <v>206</v>
      </c>
      <c r="H159" s="66" t="s">
        <v>207</v>
      </c>
    </row>
    <row r="160" spans="1:8" ht="14.5">
      <c r="A160" s="229" t="s">
        <v>738</v>
      </c>
      <c r="B160" s="202">
        <v>45726</v>
      </c>
      <c r="C160" s="63">
        <v>45726</v>
      </c>
      <c r="D160" s="131"/>
      <c r="E160" s="177" t="s">
        <v>239</v>
      </c>
      <c r="F160" s="195">
        <v>51257</v>
      </c>
      <c r="G160" s="66" t="s">
        <v>206</v>
      </c>
      <c r="H160" s="66" t="s">
        <v>207</v>
      </c>
    </row>
    <row r="161" spans="1:8" ht="14.5">
      <c r="A161" s="229" t="s">
        <v>738</v>
      </c>
      <c r="B161" s="202">
        <v>45726</v>
      </c>
      <c r="C161" s="63">
        <v>45726</v>
      </c>
      <c r="D161" s="131"/>
      <c r="E161" s="177" t="s">
        <v>240</v>
      </c>
      <c r="F161" s="195">
        <v>101000</v>
      </c>
      <c r="G161" s="66" t="s">
        <v>209</v>
      </c>
      <c r="H161" s="66" t="s">
        <v>207</v>
      </c>
    </row>
    <row r="162" spans="1:8" ht="14.5">
      <c r="A162" s="229" t="s">
        <v>738</v>
      </c>
      <c r="B162" s="202">
        <v>45726</v>
      </c>
      <c r="C162" s="63">
        <v>45726</v>
      </c>
      <c r="D162" s="131"/>
      <c r="E162" s="66" t="s">
        <v>241</v>
      </c>
      <c r="F162" s="195">
        <v>154100</v>
      </c>
      <c r="G162" s="66" t="s">
        <v>206</v>
      </c>
      <c r="H162" s="66" t="s">
        <v>207</v>
      </c>
    </row>
    <row r="163" spans="1:8" ht="14.5">
      <c r="A163" s="229" t="s">
        <v>738</v>
      </c>
      <c r="B163" s="202">
        <v>45726</v>
      </c>
      <c r="C163" s="63">
        <v>45726</v>
      </c>
      <c r="D163" s="131"/>
      <c r="E163" s="66" t="s">
        <v>242</v>
      </c>
      <c r="F163" s="195">
        <v>162500</v>
      </c>
      <c r="G163" s="66" t="s">
        <v>206</v>
      </c>
      <c r="H163" s="66" t="s">
        <v>207</v>
      </c>
    </row>
    <row r="164" spans="1:8" ht="14.5">
      <c r="A164" s="229" t="s">
        <v>738</v>
      </c>
      <c r="B164" s="202">
        <v>45726</v>
      </c>
      <c r="C164" s="63">
        <v>45726</v>
      </c>
      <c r="D164" s="131"/>
      <c r="E164" s="66" t="s">
        <v>243</v>
      </c>
      <c r="F164" s="195">
        <v>4518000</v>
      </c>
      <c r="G164" s="66" t="s">
        <v>206</v>
      </c>
      <c r="H164" s="66" t="s">
        <v>207</v>
      </c>
    </row>
    <row r="165" spans="1:8" ht="14.5">
      <c r="A165" s="229" t="s">
        <v>738</v>
      </c>
      <c r="B165" s="202">
        <v>45726</v>
      </c>
      <c r="C165" s="63">
        <v>45726</v>
      </c>
      <c r="D165" s="131"/>
      <c r="E165" s="66" t="s">
        <v>244</v>
      </c>
      <c r="F165" s="195">
        <v>3500000</v>
      </c>
      <c r="G165" s="134" t="s">
        <v>203</v>
      </c>
      <c r="H165" s="134" t="s">
        <v>204</v>
      </c>
    </row>
    <row r="166" spans="1:8" ht="14.5">
      <c r="A166" s="229" t="s">
        <v>738</v>
      </c>
      <c r="B166" s="202">
        <v>45728</v>
      </c>
      <c r="C166" s="63">
        <v>45728</v>
      </c>
      <c r="D166" s="131"/>
      <c r="E166" s="66" t="s">
        <v>245</v>
      </c>
      <c r="F166" s="195">
        <v>4053000</v>
      </c>
      <c r="G166" s="66" t="s">
        <v>209</v>
      </c>
      <c r="H166" s="66" t="s">
        <v>207</v>
      </c>
    </row>
    <row r="167" spans="1:8" ht="14.5">
      <c r="A167" s="229" t="s">
        <v>738</v>
      </c>
      <c r="B167" s="202">
        <v>45728</v>
      </c>
      <c r="C167" s="63">
        <v>45728</v>
      </c>
      <c r="D167" s="131"/>
      <c r="E167" s="66" t="s">
        <v>246</v>
      </c>
      <c r="F167" s="195">
        <f>15000+28401</f>
        <v>43401</v>
      </c>
      <c r="G167" s="66" t="s">
        <v>209</v>
      </c>
      <c r="H167" s="66" t="s">
        <v>207</v>
      </c>
    </row>
    <row r="168" spans="1:8" ht="14.5">
      <c r="A168" s="229" t="s">
        <v>738</v>
      </c>
      <c r="B168" s="202">
        <v>45729</v>
      </c>
      <c r="C168" s="63">
        <v>45729</v>
      </c>
      <c r="D168" s="131"/>
      <c r="E168" s="66" t="s">
        <v>247</v>
      </c>
      <c r="F168" s="195">
        <v>189000</v>
      </c>
      <c r="G168" s="134" t="s">
        <v>203</v>
      </c>
      <c r="H168" s="134" t="s">
        <v>204</v>
      </c>
    </row>
    <row r="169" spans="1:8" ht="14.5">
      <c r="A169" s="229" t="s">
        <v>738</v>
      </c>
      <c r="B169" s="202">
        <v>45734</v>
      </c>
      <c r="C169" s="63">
        <v>45734</v>
      </c>
      <c r="D169" s="131"/>
      <c r="E169" s="66" t="s">
        <v>248</v>
      </c>
      <c r="F169" s="195">
        <v>1690000</v>
      </c>
      <c r="G169" s="66" t="s">
        <v>249</v>
      </c>
      <c r="H169" s="66"/>
    </row>
    <row r="170" spans="1:8" ht="14.5">
      <c r="A170" s="229" t="s">
        <v>738</v>
      </c>
      <c r="B170" s="202">
        <v>45736</v>
      </c>
      <c r="C170" s="63">
        <v>45736</v>
      </c>
      <c r="D170" s="131"/>
      <c r="E170" s="66" t="s">
        <v>250</v>
      </c>
      <c r="F170" s="195">
        <f>438035+48184</f>
        <v>486219</v>
      </c>
      <c r="G170" s="66" t="s">
        <v>206</v>
      </c>
      <c r="H170" s="66" t="s">
        <v>207</v>
      </c>
    </row>
    <row r="171" spans="1:8" ht="14.5">
      <c r="A171" s="229" t="s">
        <v>738</v>
      </c>
      <c r="B171" s="202">
        <v>45736</v>
      </c>
      <c r="C171" s="63">
        <v>45736</v>
      </c>
      <c r="D171" s="131"/>
      <c r="E171" s="66" t="s">
        <v>251</v>
      </c>
      <c r="F171" s="195">
        <v>367314</v>
      </c>
      <c r="G171" s="66" t="s">
        <v>206</v>
      </c>
      <c r="H171" s="66" t="s">
        <v>207</v>
      </c>
    </row>
    <row r="172" spans="1:8" ht="14.5">
      <c r="A172" s="229" t="s">
        <v>738</v>
      </c>
      <c r="B172" s="202">
        <v>45736</v>
      </c>
      <c r="C172" s="63">
        <v>45736</v>
      </c>
      <c r="D172" s="131"/>
      <c r="E172" s="66" t="s">
        <v>252</v>
      </c>
      <c r="F172" s="195">
        <v>59000</v>
      </c>
      <c r="G172" s="134" t="s">
        <v>203</v>
      </c>
      <c r="H172" s="134" t="s">
        <v>204</v>
      </c>
    </row>
    <row r="173" spans="1:8" ht="14.5">
      <c r="A173" s="229" t="s">
        <v>738</v>
      </c>
      <c r="B173" s="202">
        <v>45736</v>
      </c>
      <c r="C173" s="63">
        <v>45736</v>
      </c>
      <c r="D173" s="131"/>
      <c r="E173" s="66" t="s">
        <v>253</v>
      </c>
      <c r="F173" s="195">
        <v>13046200</v>
      </c>
      <c r="G173" s="66" t="s">
        <v>206</v>
      </c>
      <c r="H173" s="66" t="s">
        <v>207</v>
      </c>
    </row>
    <row r="174" spans="1:8" ht="14.5">
      <c r="A174" s="229" t="s">
        <v>738</v>
      </c>
      <c r="B174" s="202">
        <v>45736</v>
      </c>
      <c r="C174" s="63">
        <v>45736</v>
      </c>
      <c r="D174" s="131"/>
      <c r="E174" s="66" t="s">
        <v>254</v>
      </c>
      <c r="F174" s="195">
        <v>382500</v>
      </c>
      <c r="G174" s="134" t="s">
        <v>203</v>
      </c>
      <c r="H174" s="134" t="s">
        <v>204</v>
      </c>
    </row>
    <row r="175" spans="1:8" ht="14.5">
      <c r="A175" s="229" t="s">
        <v>738</v>
      </c>
      <c r="B175" s="202">
        <v>45736</v>
      </c>
      <c r="C175" s="63">
        <v>45736</v>
      </c>
      <c r="D175" s="131"/>
      <c r="E175" s="66" t="s">
        <v>255</v>
      </c>
      <c r="F175" s="195">
        <f>671435+73858</f>
        <v>745293</v>
      </c>
      <c r="G175" s="66" t="s">
        <v>206</v>
      </c>
      <c r="H175" s="66" t="s">
        <v>207</v>
      </c>
    </row>
    <row r="176" spans="1:8" ht="14.5">
      <c r="A176" s="229" t="s">
        <v>738</v>
      </c>
      <c r="B176" s="202">
        <v>45743</v>
      </c>
      <c r="C176" s="63">
        <v>45743</v>
      </c>
      <c r="D176" s="131"/>
      <c r="E176" s="66" t="s">
        <v>256</v>
      </c>
      <c r="F176" s="195">
        <v>350000</v>
      </c>
      <c r="G176" s="66" t="s">
        <v>213</v>
      </c>
      <c r="H176" s="208" t="s">
        <v>214</v>
      </c>
    </row>
    <row r="177" spans="1:8" ht="14.5">
      <c r="A177" s="229" t="s">
        <v>738</v>
      </c>
      <c r="B177" s="202">
        <v>45743</v>
      </c>
      <c r="C177" s="63">
        <v>45743</v>
      </c>
      <c r="D177" s="131"/>
      <c r="E177" s="66" t="s">
        <v>257</v>
      </c>
      <c r="F177" s="195">
        <v>28000</v>
      </c>
      <c r="G177" s="66" t="s">
        <v>200</v>
      </c>
      <c r="H177" s="66" t="s">
        <v>201</v>
      </c>
    </row>
    <row r="178" spans="1:8" ht="14.5">
      <c r="A178" s="229" t="s">
        <v>738</v>
      </c>
      <c r="B178" s="202">
        <v>45756</v>
      </c>
      <c r="C178" s="63">
        <v>45756</v>
      </c>
      <c r="D178" s="64"/>
      <c r="E178" s="66" t="s">
        <v>258</v>
      </c>
      <c r="F178" s="195">
        <v>121000</v>
      </c>
      <c r="G178" s="134" t="s">
        <v>203</v>
      </c>
      <c r="H178" s="134" t="s">
        <v>204</v>
      </c>
    </row>
    <row r="179" spans="1:8" ht="14.5">
      <c r="A179" s="229" t="s">
        <v>738</v>
      </c>
      <c r="B179" s="202">
        <v>45757</v>
      </c>
      <c r="C179" s="63">
        <v>45757</v>
      </c>
      <c r="D179" s="64"/>
      <c r="E179" s="66" t="s">
        <v>259</v>
      </c>
      <c r="F179" s="195">
        <v>5085050</v>
      </c>
      <c r="G179" s="66" t="s">
        <v>209</v>
      </c>
      <c r="H179" s="66" t="s">
        <v>201</v>
      </c>
    </row>
    <row r="180" spans="1:8" ht="14.5">
      <c r="A180" s="229" t="s">
        <v>738</v>
      </c>
      <c r="B180" s="202">
        <v>45758</v>
      </c>
      <c r="C180" s="63">
        <v>45758</v>
      </c>
      <c r="D180" s="64"/>
      <c r="E180" s="177" t="s">
        <v>260</v>
      </c>
      <c r="F180" s="195">
        <v>217000</v>
      </c>
      <c r="G180" s="66" t="s">
        <v>200</v>
      </c>
      <c r="H180" s="66" t="s">
        <v>201</v>
      </c>
    </row>
    <row r="181" spans="1:8" ht="14.5">
      <c r="A181" s="229" t="s">
        <v>738</v>
      </c>
      <c r="B181" s="202">
        <v>45758</v>
      </c>
      <c r="C181" s="63">
        <v>45758</v>
      </c>
      <c r="D181" s="64"/>
      <c r="E181" s="177" t="s">
        <v>261</v>
      </c>
      <c r="F181" s="195">
        <v>189000</v>
      </c>
      <c r="G181" s="66" t="s">
        <v>200</v>
      </c>
      <c r="H181" s="66" t="s">
        <v>201</v>
      </c>
    </row>
    <row r="182" spans="1:8" ht="14.5">
      <c r="A182" s="229" t="s">
        <v>738</v>
      </c>
      <c r="B182" s="202">
        <v>45758</v>
      </c>
      <c r="C182" s="63">
        <v>45758</v>
      </c>
      <c r="D182" s="64"/>
      <c r="E182" s="177" t="s">
        <v>262</v>
      </c>
      <c r="F182" s="195">
        <v>275800</v>
      </c>
      <c r="G182" s="66" t="s">
        <v>200</v>
      </c>
      <c r="H182" s="66" t="s">
        <v>201</v>
      </c>
    </row>
    <row r="183" spans="1:8" ht="14.5">
      <c r="A183" s="229" t="s">
        <v>738</v>
      </c>
      <c r="B183" s="202">
        <v>45758</v>
      </c>
      <c r="C183" s="63">
        <v>45758</v>
      </c>
      <c r="D183" s="64"/>
      <c r="E183" s="66" t="s">
        <v>263</v>
      </c>
      <c r="F183" s="195">
        <v>3900500</v>
      </c>
      <c r="G183" s="66" t="s">
        <v>213</v>
      </c>
      <c r="H183" s="66"/>
    </row>
    <row r="184" spans="1:8" ht="14.5">
      <c r="A184" s="229" t="s">
        <v>738</v>
      </c>
      <c r="B184" s="202">
        <v>45762</v>
      </c>
      <c r="C184" s="63">
        <v>45762</v>
      </c>
      <c r="D184" s="131"/>
      <c r="E184" s="66" t="s">
        <v>264</v>
      </c>
      <c r="F184" s="195">
        <v>812977</v>
      </c>
      <c r="G184" s="66" t="s">
        <v>249</v>
      </c>
      <c r="H184" s="66"/>
    </row>
    <row r="185" spans="1:8" ht="14.5">
      <c r="A185" s="229" t="s">
        <v>740</v>
      </c>
      <c r="B185" s="62">
        <v>45658</v>
      </c>
      <c r="C185" s="63">
        <v>45664</v>
      </c>
      <c r="E185" s="66" t="s">
        <v>559</v>
      </c>
      <c r="F185" s="126">
        <v>756366</v>
      </c>
      <c r="G185" s="66" t="s">
        <v>560</v>
      </c>
      <c r="H185" s="66" t="s">
        <v>134</v>
      </c>
    </row>
    <row r="186" spans="1:8" ht="14.5">
      <c r="A186" s="229" t="s">
        <v>740</v>
      </c>
      <c r="B186" s="62">
        <v>45658</v>
      </c>
      <c r="C186" s="63">
        <v>45666</v>
      </c>
      <c r="E186" s="127" t="s">
        <v>561</v>
      </c>
      <c r="F186" s="128">
        <v>13035000</v>
      </c>
      <c r="G186" s="66" t="s">
        <v>562</v>
      </c>
      <c r="H186" s="66" t="s">
        <v>134</v>
      </c>
    </row>
    <row r="187" spans="1:8" ht="14.5">
      <c r="A187" s="229" t="s">
        <v>740</v>
      </c>
      <c r="B187" s="62">
        <v>45658</v>
      </c>
      <c r="C187" s="63">
        <v>45666</v>
      </c>
      <c r="E187" s="127" t="s">
        <v>563</v>
      </c>
      <c r="F187" s="95">
        <v>3010000</v>
      </c>
      <c r="G187" s="66" t="s">
        <v>562</v>
      </c>
      <c r="H187" s="66" t="s">
        <v>152</v>
      </c>
    </row>
    <row r="188" spans="1:8" ht="14.5">
      <c r="A188" s="229" t="s">
        <v>740</v>
      </c>
      <c r="B188" s="62">
        <v>45658</v>
      </c>
      <c r="C188" s="63">
        <v>45708</v>
      </c>
      <c r="E188" s="66" t="s">
        <v>564</v>
      </c>
      <c r="F188" s="95">
        <v>119064</v>
      </c>
      <c r="G188" s="66" t="s">
        <v>560</v>
      </c>
      <c r="H188" s="66" t="s">
        <v>134</v>
      </c>
    </row>
    <row r="189" spans="1:8" ht="14.5">
      <c r="A189" s="229" t="s">
        <v>740</v>
      </c>
      <c r="B189" s="62">
        <v>45689</v>
      </c>
      <c r="C189" s="63">
        <v>45692</v>
      </c>
      <c r="E189" s="129" t="s">
        <v>565</v>
      </c>
      <c r="F189" s="130">
        <v>16016935</v>
      </c>
      <c r="G189" s="66" t="s">
        <v>562</v>
      </c>
      <c r="H189" s="66"/>
    </row>
    <row r="190" spans="1:8" ht="14.5">
      <c r="A190" s="229" t="s">
        <v>740</v>
      </c>
      <c r="B190" s="62">
        <v>45689</v>
      </c>
      <c r="C190" s="63">
        <v>45693</v>
      </c>
      <c r="E190" s="66" t="s">
        <v>566</v>
      </c>
      <c r="F190" s="95">
        <v>100000</v>
      </c>
      <c r="G190" s="66"/>
      <c r="H190" s="66"/>
    </row>
    <row r="191" spans="1:8" ht="14.5">
      <c r="A191" s="229" t="s">
        <v>740</v>
      </c>
      <c r="B191" s="62">
        <v>45689</v>
      </c>
      <c r="C191" s="63">
        <v>45693</v>
      </c>
      <c r="E191" s="66" t="s">
        <v>567</v>
      </c>
      <c r="F191" s="95">
        <f>25000+20000</f>
        <v>45000</v>
      </c>
      <c r="G191" s="66"/>
      <c r="H191" s="66"/>
    </row>
    <row r="192" spans="1:8" ht="14.5">
      <c r="A192" s="229" t="s">
        <v>740</v>
      </c>
      <c r="B192" s="62">
        <v>45689</v>
      </c>
      <c r="C192" s="63">
        <v>45693</v>
      </c>
      <c r="E192" s="66" t="s">
        <v>568</v>
      </c>
      <c r="F192" s="95">
        <v>24700</v>
      </c>
      <c r="G192" s="66" t="s">
        <v>560</v>
      </c>
      <c r="H192" s="66" t="s">
        <v>152</v>
      </c>
    </row>
    <row r="193" spans="1:8" ht="14.5">
      <c r="A193" s="229" t="s">
        <v>740</v>
      </c>
      <c r="B193" s="62">
        <v>45689</v>
      </c>
      <c r="C193" s="63">
        <v>45694</v>
      </c>
      <c r="E193" s="66" t="s">
        <v>569</v>
      </c>
      <c r="F193" s="95">
        <v>612300</v>
      </c>
      <c r="G193" s="66" t="s">
        <v>562</v>
      </c>
      <c r="H193" s="66" t="s">
        <v>134</v>
      </c>
    </row>
    <row r="194" spans="1:8" ht="14.5">
      <c r="A194" s="229" t="s">
        <v>740</v>
      </c>
      <c r="B194" s="62">
        <v>45689</v>
      </c>
      <c r="C194" s="63">
        <v>45699</v>
      </c>
      <c r="E194" s="66" t="s">
        <v>570</v>
      </c>
      <c r="F194" s="95">
        <v>6660000</v>
      </c>
      <c r="G194" s="66"/>
      <c r="H194" s="66"/>
    </row>
    <row r="195" spans="1:8" ht="14.5">
      <c r="A195" s="229" t="s">
        <v>740</v>
      </c>
      <c r="B195" s="62">
        <v>45689</v>
      </c>
      <c r="C195" s="63">
        <v>45699</v>
      </c>
      <c r="E195" s="66" t="s">
        <v>571</v>
      </c>
      <c r="F195" s="95">
        <v>1531745</v>
      </c>
      <c r="G195" s="66" t="s">
        <v>572</v>
      </c>
      <c r="H195" s="66" t="s">
        <v>134</v>
      </c>
    </row>
    <row r="196" spans="1:8" ht="14.5">
      <c r="A196" s="229" t="s">
        <v>740</v>
      </c>
      <c r="B196" s="62">
        <v>45689</v>
      </c>
      <c r="C196" s="63">
        <v>45699</v>
      </c>
      <c r="E196" s="66" t="s">
        <v>573</v>
      </c>
      <c r="F196" s="95">
        <v>753554</v>
      </c>
      <c r="G196" s="66" t="s">
        <v>560</v>
      </c>
      <c r="H196" s="66" t="s">
        <v>134</v>
      </c>
    </row>
    <row r="197" spans="1:8" ht="14.5">
      <c r="A197" s="229" t="s">
        <v>740</v>
      </c>
      <c r="B197" s="62">
        <v>45689</v>
      </c>
      <c r="C197" s="63">
        <v>45699</v>
      </c>
      <c r="E197" s="66" t="s">
        <v>574</v>
      </c>
      <c r="F197" s="95">
        <v>121718</v>
      </c>
      <c r="G197" s="66" t="s">
        <v>560</v>
      </c>
      <c r="H197" s="66" t="s">
        <v>134</v>
      </c>
    </row>
    <row r="198" spans="1:8" ht="14.5">
      <c r="A198" s="229" t="s">
        <v>740</v>
      </c>
      <c r="B198" s="62">
        <v>45689</v>
      </c>
      <c r="C198" s="63">
        <v>45699</v>
      </c>
      <c r="E198" s="79" t="s">
        <v>575</v>
      </c>
      <c r="F198" s="96">
        <v>100000</v>
      </c>
      <c r="G198" s="66"/>
      <c r="H198" s="66"/>
    </row>
  </sheetData>
  <dataValidations count="7">
    <dataValidation type="list" showInputMessage="1" showErrorMessage="1" sqref="G3 G6 G8" xr:uid="{5A84CD18-1049-4002-9E68-043F5932C28D}">
      <formula1>"Security Service"</formula1>
    </dataValidation>
    <dataValidation type="list" showInputMessage="1" showErrorMessage="1" sqref="G2 G4:G5 G7" xr:uid="{0C9A77D9-D6E5-45EB-9385-132C5FA95995}">
      <formula1>"OS Service"</formula1>
    </dataValidation>
    <dataValidation type="list" allowBlank="1" showErrorMessage="1" sqref="G9:G83" xr:uid="{595C15A3-FC5F-48D8-ADCB-13688E3B7B3F}">
      <formula1>"Cleaning Material,Pantry Supplies,Office Supplies,Medical Supplies"</formula1>
    </dataValidation>
    <dataValidation type="list" allowBlank="1" showErrorMessage="1" sqref="G84:G113" xr:uid="{AE9E5C2D-1963-4C17-81D3-B9B76AF73CF0}">
      <formula1>"Office Renovation,Service &amp; Maintenance,Building Material,ME Materials,Environtment,Office Furniture"</formula1>
    </dataValidation>
    <dataValidation type="list" allowBlank="1" showErrorMessage="1" sqref="H84:H113 H185:H198" xr:uid="{476CE7E8-9E9F-42A8-898C-022BCE82F00A}">
      <formula1>"Tangerang,Yogyakarta"</formula1>
    </dataValidation>
    <dataValidation type="list" allowBlank="1" showErrorMessage="1" sqref="G130:G184" xr:uid="{F8815C2E-BBBB-4331-A21A-E7CD381EA3A6}">
      <formula1>"CEO Transport,CBO Transport,CFO Transport,Expedition,Grab Transport,Office Support Service Plafond,Office Vehicle"</formula1>
    </dataValidation>
    <dataValidation type="list" allowBlank="1" showErrorMessage="1" sqref="G185:G198" xr:uid="{EFA0B746-AC3F-4FD3-A0E7-248B492B2908}">
      <formula1>"Electricity,Telephone,Water Supply"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10ED-4769-4ABC-BA96-F77972205621}">
  <dimension ref="A1:N13"/>
  <sheetViews>
    <sheetView tabSelected="1" topLeftCell="D1" workbookViewId="0">
      <selection activeCell="H12" sqref="H12"/>
    </sheetView>
  </sheetViews>
  <sheetFormatPr defaultRowHeight="14.5"/>
  <cols>
    <col min="1" max="1" width="24.453125" style="29" customWidth="1"/>
    <col min="2" max="2" width="20.81640625" style="29" customWidth="1"/>
    <col min="3" max="3" width="11.1796875" style="2" customWidth="1"/>
    <col min="4" max="4" width="40.1796875" style="2" customWidth="1"/>
    <col min="5" max="6" width="6.81640625" style="2" customWidth="1"/>
    <col min="7" max="8" width="48.453125" style="2" customWidth="1"/>
    <col min="9" max="9" width="12.453125" style="2" customWidth="1"/>
    <col min="10" max="10" width="13.453125" style="2" customWidth="1"/>
    <col min="11" max="11" width="15.26953125" style="2" customWidth="1"/>
    <col min="12" max="12" width="36" style="2" customWidth="1"/>
    <col min="13" max="13" width="17.54296875" style="2" customWidth="1"/>
    <col min="14" max="14" width="15.7265625" style="2" customWidth="1"/>
  </cols>
  <sheetData>
    <row r="1" spans="1:14" ht="21">
      <c r="A1" s="91" t="s">
        <v>693</v>
      </c>
      <c r="B1" s="91" t="s">
        <v>694</v>
      </c>
      <c r="C1" s="92" t="s">
        <v>576</v>
      </c>
      <c r="D1" s="92" t="s">
        <v>695</v>
      </c>
      <c r="E1" s="92" t="s">
        <v>696</v>
      </c>
      <c r="F1" s="92" t="s">
        <v>697</v>
      </c>
      <c r="G1" s="92" t="s">
        <v>176</v>
      </c>
      <c r="H1" s="92" t="s">
        <v>742</v>
      </c>
      <c r="I1" s="91" t="s">
        <v>698</v>
      </c>
      <c r="J1" s="91" t="s">
        <v>699</v>
      </c>
      <c r="K1" s="92" t="s">
        <v>700</v>
      </c>
      <c r="L1" s="92" t="s">
        <v>701</v>
      </c>
      <c r="M1" s="93" t="s">
        <v>702</v>
      </c>
      <c r="N1" s="93" t="s">
        <v>703</v>
      </c>
    </row>
    <row r="2" spans="1:14">
      <c r="A2" s="89">
        <v>45664</v>
      </c>
      <c r="B2" s="89">
        <v>45664</v>
      </c>
      <c r="C2" s="2" t="s">
        <v>704</v>
      </c>
      <c r="D2" s="2" t="s">
        <v>705</v>
      </c>
      <c r="E2" s="2">
        <v>48</v>
      </c>
      <c r="G2" s="2" t="s">
        <v>25</v>
      </c>
      <c r="H2" s="2" t="str">
        <f>TRIM(RIGHT(G2,LEN(G2)-FIND("-",G2)-1))</f>
        <v>Pantries</v>
      </c>
      <c r="I2" s="88">
        <v>45672</v>
      </c>
      <c r="J2" s="90">
        <f ca="1">_xlfn.SINGLE(IF(N2="PAID",0,_xlfn.DAYS(TODAY(),I2)))</f>
        <v>125</v>
      </c>
      <c r="K2" s="89">
        <v>45673</v>
      </c>
      <c r="L2" s="2" t="s">
        <v>706</v>
      </c>
      <c r="N2" s="2" t="s">
        <v>707</v>
      </c>
    </row>
    <row r="3" spans="1:14">
      <c r="A3" s="89">
        <v>45664</v>
      </c>
      <c r="B3" s="89">
        <v>45664</v>
      </c>
      <c r="C3" s="2" t="s">
        <v>704</v>
      </c>
      <c r="D3" s="2" t="s">
        <v>708</v>
      </c>
      <c r="E3" s="2">
        <v>12</v>
      </c>
      <c r="G3" s="2" t="s">
        <v>25</v>
      </c>
      <c r="H3" s="2" t="str">
        <f t="shared" ref="H3:H12" si="0">TRIM(RIGHT(G3,LEN(G3)-FIND("-",G3)-1))</f>
        <v>Pantries</v>
      </c>
      <c r="I3" s="88">
        <v>45672</v>
      </c>
      <c r="J3" s="90">
        <f t="shared" ref="J3:J12" ca="1" si="1">_xlfn.SINGLE(IF(N3="PAID",0,_xlfn.DAYS(TODAY(),I3)))</f>
        <v>125</v>
      </c>
      <c r="K3" s="89">
        <v>45673</v>
      </c>
      <c r="L3" s="2" t="s">
        <v>706</v>
      </c>
      <c r="N3" s="2" t="s">
        <v>707</v>
      </c>
    </row>
    <row r="4" spans="1:14">
      <c r="A4" s="89">
        <v>45664</v>
      </c>
      <c r="B4" s="89">
        <v>45664</v>
      </c>
      <c r="C4" s="2" t="s">
        <v>709</v>
      </c>
      <c r="D4" s="2" t="s">
        <v>710</v>
      </c>
      <c r="E4" s="2">
        <v>20</v>
      </c>
      <c r="G4" s="2" t="s">
        <v>711</v>
      </c>
      <c r="H4" s="2" t="str">
        <f t="shared" si="0"/>
        <v>RM Mechanical &amp; Electrical</v>
      </c>
      <c r="I4" s="88">
        <v>45674</v>
      </c>
      <c r="J4" s="90">
        <f t="shared" ca="1" si="1"/>
        <v>123</v>
      </c>
    </row>
    <row r="5" spans="1:14">
      <c r="A5" s="89">
        <v>45664</v>
      </c>
      <c r="B5" s="89">
        <v>45664</v>
      </c>
      <c r="C5" s="2" t="s">
        <v>709</v>
      </c>
      <c r="D5" s="2" t="s">
        <v>712</v>
      </c>
      <c r="E5" s="2">
        <v>8</v>
      </c>
      <c r="G5" s="2" t="s">
        <v>711</v>
      </c>
      <c r="H5" s="2" t="str">
        <f t="shared" si="0"/>
        <v>RM Mechanical &amp; Electrical</v>
      </c>
      <c r="I5" s="88">
        <v>45674</v>
      </c>
      <c r="J5" s="90">
        <f t="shared" ca="1" si="1"/>
        <v>123</v>
      </c>
    </row>
    <row r="6" spans="1:14">
      <c r="A6" s="89">
        <v>45664</v>
      </c>
      <c r="B6" s="89">
        <v>45664</v>
      </c>
      <c r="C6" s="2" t="s">
        <v>709</v>
      </c>
      <c r="D6" s="2" t="s">
        <v>713</v>
      </c>
      <c r="E6" s="2">
        <v>20</v>
      </c>
      <c r="G6" s="2" t="s">
        <v>711</v>
      </c>
      <c r="H6" s="2" t="str">
        <f t="shared" si="0"/>
        <v>RM Mechanical &amp; Electrical</v>
      </c>
      <c r="I6" s="88">
        <v>45674</v>
      </c>
      <c r="J6" s="90">
        <f t="shared" ca="1" si="1"/>
        <v>123</v>
      </c>
    </row>
    <row r="7" spans="1:14">
      <c r="A7" s="89">
        <v>45664</v>
      </c>
      <c r="B7" s="89">
        <v>45664</v>
      </c>
      <c r="C7" s="2" t="s">
        <v>709</v>
      </c>
      <c r="D7" s="2" t="s">
        <v>714</v>
      </c>
      <c r="E7" s="2">
        <v>8</v>
      </c>
      <c r="G7" s="2" t="s">
        <v>711</v>
      </c>
      <c r="H7" s="2" t="str">
        <f t="shared" si="0"/>
        <v>RM Mechanical &amp; Electrical</v>
      </c>
      <c r="I7" s="88">
        <v>45674</v>
      </c>
      <c r="J7" s="90">
        <f t="shared" ca="1" si="1"/>
        <v>123</v>
      </c>
    </row>
    <row r="8" spans="1:14">
      <c r="A8" s="89">
        <v>45664</v>
      </c>
      <c r="B8" s="89">
        <v>45664</v>
      </c>
      <c r="C8" s="2" t="s">
        <v>709</v>
      </c>
      <c r="D8" s="2" t="s">
        <v>715</v>
      </c>
      <c r="E8" s="2">
        <v>6</v>
      </c>
      <c r="G8" s="2" t="s">
        <v>711</v>
      </c>
      <c r="H8" s="2" t="str">
        <f t="shared" si="0"/>
        <v>RM Mechanical &amp; Electrical</v>
      </c>
      <c r="I8" s="88">
        <v>45674</v>
      </c>
      <c r="J8" s="90">
        <f t="shared" ca="1" si="1"/>
        <v>123</v>
      </c>
    </row>
    <row r="9" spans="1:14" s="103" customFormat="1">
      <c r="A9" s="99">
        <v>45720</v>
      </c>
      <c r="B9" s="99">
        <v>45722</v>
      </c>
      <c r="C9" s="100" t="s">
        <v>716</v>
      </c>
      <c r="D9" s="100" t="s">
        <v>717</v>
      </c>
      <c r="E9" s="100">
        <v>55</v>
      </c>
      <c r="F9" s="100" t="s">
        <v>718</v>
      </c>
      <c r="G9" s="101" t="s">
        <v>719</v>
      </c>
      <c r="H9" s="2" t="str">
        <f t="shared" si="0"/>
        <v>Social Donation</v>
      </c>
      <c r="I9" s="104">
        <v>45730</v>
      </c>
      <c r="J9" s="102">
        <f t="shared" ca="1" si="1"/>
        <v>67</v>
      </c>
      <c r="K9" s="100"/>
      <c r="L9" s="100"/>
      <c r="M9" s="100"/>
      <c r="N9" s="100"/>
    </row>
    <row r="10" spans="1:14">
      <c r="A10" s="89">
        <v>45721</v>
      </c>
      <c r="B10" s="99">
        <v>45722</v>
      </c>
      <c r="C10" s="2" t="s">
        <v>720</v>
      </c>
      <c r="D10" s="2" t="s">
        <v>721</v>
      </c>
      <c r="E10" s="2">
        <v>1</v>
      </c>
      <c r="F10" s="2" t="s">
        <v>697</v>
      </c>
      <c r="G10" s="98" t="s">
        <v>204</v>
      </c>
      <c r="H10" s="2" t="str">
        <f t="shared" si="0"/>
        <v>Expedition</v>
      </c>
      <c r="I10" s="88">
        <v>45726</v>
      </c>
      <c r="J10" s="90">
        <f t="shared" ca="1" si="1"/>
        <v>71</v>
      </c>
    </row>
    <row r="11" spans="1:14" ht="29">
      <c r="A11" s="89">
        <v>45734</v>
      </c>
      <c r="B11" s="89">
        <v>45736</v>
      </c>
      <c r="C11" s="2" t="s">
        <v>720</v>
      </c>
      <c r="D11" s="105" t="s">
        <v>722</v>
      </c>
      <c r="E11" s="2">
        <v>9</v>
      </c>
      <c r="F11" s="2" t="s">
        <v>697</v>
      </c>
      <c r="G11" s="2" t="s">
        <v>711</v>
      </c>
      <c r="H11" s="2" t="str">
        <f t="shared" si="0"/>
        <v>RM Mechanical &amp; Electrical</v>
      </c>
      <c r="I11" s="88">
        <v>45740</v>
      </c>
      <c r="J11" s="90">
        <f t="shared" ca="1" si="1"/>
        <v>57</v>
      </c>
    </row>
    <row r="12" spans="1:14">
      <c r="A12" s="89">
        <v>45735</v>
      </c>
      <c r="B12" s="89">
        <v>45736</v>
      </c>
      <c r="C12" s="2" t="s">
        <v>720</v>
      </c>
      <c r="D12" s="2" t="s">
        <v>723</v>
      </c>
      <c r="E12" s="2">
        <v>4</v>
      </c>
      <c r="F12" s="2" t="s">
        <v>697</v>
      </c>
      <c r="G12" s="2" t="s">
        <v>711</v>
      </c>
      <c r="H12" s="2" t="str">
        <f t="shared" si="0"/>
        <v>RM Mechanical &amp; Electrical</v>
      </c>
      <c r="J12" s="90">
        <f t="shared" ca="1" si="1"/>
        <v>45797</v>
      </c>
    </row>
    <row r="13" spans="1:14">
      <c r="J13" s="90"/>
    </row>
  </sheetData>
  <conditionalFormatting sqref="J1:J13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OUTSOURCE</vt:lpstr>
      <vt:lpstr>OPERATIONAL</vt:lpstr>
      <vt:lpstr>BUILDING &amp; FACILITIES</vt:lpstr>
      <vt:lpstr>EVENT</vt:lpstr>
      <vt:lpstr>TRANSPORTATION</vt:lpstr>
      <vt:lpstr>UTILITY</vt:lpstr>
      <vt:lpstr>GRAB OVERVIEW</vt:lpstr>
      <vt:lpstr>MEALS</vt:lpstr>
      <vt:lpstr>SPECTIVE</vt:lpstr>
      <vt:lpstr>Sheet1</vt:lpstr>
      <vt:lpstr>All Expenses</vt:lpstr>
      <vt:lpstr>PR Purchasing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 Yandi Rahman</cp:lastModifiedBy>
  <cp:revision/>
  <dcterms:created xsi:type="dcterms:W3CDTF">2024-10-10T03:05:02Z</dcterms:created>
  <dcterms:modified xsi:type="dcterms:W3CDTF">2025-05-19T18:14:59Z</dcterms:modified>
  <cp:category/>
  <cp:contentStatus/>
</cp:coreProperties>
</file>